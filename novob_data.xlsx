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yasarah/Downloads/"/>
    </mc:Choice>
  </mc:AlternateContent>
  <xr:revisionPtr revIDLastSave="0" documentId="13_ncr:1_{0696D8EA-0683-AC47-B609-82F3761C36A9}" xr6:coauthVersionLast="47" xr6:coauthVersionMax="47" xr10:uidLastSave="{00000000-0000-0000-0000-000000000000}"/>
  <bookViews>
    <workbookView xWindow="0" yWindow="720" windowWidth="29400" windowHeight="18400" xr2:uid="{3E6EB50D-C4F3-0543-AF35-7ECDC615C65D}"/>
  </bookViews>
  <sheets>
    <sheet name="FinModel" sheetId="3" r:id="rId1"/>
    <sheet name="Valuation 10y" sheetId="7" r:id="rId2"/>
    <sheet name="Ratio" sheetId="6" r:id="rId3"/>
    <sheet name="CCA" sheetId="1" r:id="rId4"/>
    <sheet name="Valuation" sheetId="5" r:id="rId5"/>
  </sheets>
  <externalReferences>
    <externalReference r:id="rId6"/>
    <externalReference r:id="rId7"/>
    <externalReference r:id="rId8"/>
  </externalReferences>
  <definedNames>
    <definedName name="start" localSheetId="0">FinModel!#REF!</definedName>
    <definedName name="start">[1]FinModel!#REF!</definedName>
    <definedName name="tax">[2]FinModel!$D$100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7" l="1"/>
  <c r="T28" i="7"/>
  <c r="T32" i="7"/>
  <c r="Q9" i="7"/>
  <c r="T31" i="7"/>
  <c r="T30" i="7"/>
  <c r="T39" i="7" l="1"/>
  <c r="T29" i="7"/>
  <c r="C61" i="7" l="1"/>
  <c r="C56" i="7"/>
  <c r="C53" i="7"/>
  <c r="E50" i="7"/>
  <c r="D50" i="7"/>
  <c r="C54" i="7" s="1"/>
  <c r="C50" i="7"/>
  <c r="C62" i="7" s="1"/>
  <c r="H42" i="7"/>
  <c r="H43" i="7" s="1"/>
  <c r="H44" i="7" s="1"/>
  <c r="Q14" i="7"/>
  <c r="D9" i="7"/>
  <c r="I42" i="5"/>
  <c r="I43" i="5" s="1"/>
  <c r="I44" i="5" s="1"/>
  <c r="F11" i="1"/>
  <c r="E16" i="1"/>
  <c r="E17" i="1"/>
  <c r="E18" i="1" s="1"/>
  <c r="E19" i="1" s="1"/>
  <c r="O17" i="5"/>
  <c r="O12" i="5"/>
  <c r="E9" i="5"/>
  <c r="K76" i="3"/>
  <c r="J107" i="3"/>
  <c r="J102" i="3"/>
  <c r="J78" i="3"/>
  <c r="K78" i="3" s="1"/>
  <c r="K107" i="3"/>
  <c r="J112" i="3"/>
  <c r="K112" i="3" s="1"/>
  <c r="K102" i="3"/>
  <c r="H209" i="3"/>
  <c r="H208" i="3"/>
  <c r="K124" i="3"/>
  <c r="I114" i="3"/>
  <c r="K101" i="3"/>
  <c r="J101" i="3"/>
  <c r="J100" i="3"/>
  <c r="G234" i="3"/>
  <c r="I136" i="3"/>
  <c r="J132" i="3" s="1"/>
  <c r="I141" i="3"/>
  <c r="J98" i="3"/>
  <c r="K98" i="3" s="1"/>
  <c r="D61" i="5"/>
  <c r="D56" i="5"/>
  <c r="D53" i="5"/>
  <c r="F50" i="5"/>
  <c r="E50" i="5"/>
  <c r="D54" i="5" s="1"/>
  <c r="D50" i="5"/>
  <c r="D62" i="5" s="1"/>
  <c r="E34" i="5"/>
  <c r="E32" i="5"/>
  <c r="E33" i="5" s="1"/>
  <c r="G97" i="3"/>
  <c r="G89" i="3" s="1"/>
  <c r="G104" i="3" s="1"/>
  <c r="H97" i="3"/>
  <c r="H89" i="3" s="1"/>
  <c r="H104" i="3" s="1"/>
  <c r="I97" i="3"/>
  <c r="I89" i="3" s="1"/>
  <c r="I104" i="3" s="1"/>
  <c r="J95" i="3"/>
  <c r="K95" i="3" s="1"/>
  <c r="I133" i="3"/>
  <c r="I44" i="3"/>
  <c r="J110" i="3"/>
  <c r="K110" i="3" s="1"/>
  <c r="J116" i="3"/>
  <c r="K116" i="3" s="1"/>
  <c r="J118" i="3"/>
  <c r="H234" i="3"/>
  <c r="J111" i="3"/>
  <c r="K111" i="3" s="1"/>
  <c r="J108" i="3"/>
  <c r="K108" i="3" s="1"/>
  <c r="I195" i="3"/>
  <c r="J192" i="3" s="1"/>
  <c r="H195" i="3"/>
  <c r="I192" i="3" s="1"/>
  <c r="I194" i="3"/>
  <c r="H194" i="3"/>
  <c r="G195" i="3"/>
  <c r="H192" i="3" s="1"/>
  <c r="J76" i="3"/>
  <c r="J75" i="3"/>
  <c r="K75" i="3" s="1"/>
  <c r="H244" i="3"/>
  <c r="I244" i="3"/>
  <c r="G244" i="3"/>
  <c r="J68" i="3"/>
  <c r="K68" i="3" s="1"/>
  <c r="J67" i="3"/>
  <c r="K67" i="3" s="1"/>
  <c r="J66" i="3"/>
  <c r="K66" i="3" s="1"/>
  <c r="J65" i="3"/>
  <c r="K65" i="3" s="1"/>
  <c r="I234" i="3"/>
  <c r="H231" i="3"/>
  <c r="J56" i="3"/>
  <c r="K56" i="3" s="1"/>
  <c r="J61" i="3"/>
  <c r="K61" i="3" s="1"/>
  <c r="J60" i="3"/>
  <c r="K60" i="3" s="1"/>
  <c r="J50" i="3"/>
  <c r="K50" i="3" s="1"/>
  <c r="K51" i="3"/>
  <c r="J49" i="3"/>
  <c r="K49" i="3" s="1"/>
  <c r="J48" i="3"/>
  <c r="K48" i="3" s="1"/>
  <c r="J43" i="3"/>
  <c r="K43" i="3" s="1"/>
  <c r="J42" i="3"/>
  <c r="K42" i="3" s="1"/>
  <c r="G184" i="3"/>
  <c r="H174" i="3"/>
  <c r="H183" i="3" s="1"/>
  <c r="I174" i="3"/>
  <c r="I183" i="3" s="1"/>
  <c r="G174" i="3"/>
  <c r="G183" i="3" s="1"/>
  <c r="H175" i="3"/>
  <c r="I175" i="3"/>
  <c r="I184" i="3" s="1"/>
  <c r="G175" i="3"/>
  <c r="H173" i="3"/>
  <c r="H182" i="3" s="1"/>
  <c r="I173" i="3"/>
  <c r="I182" i="3" s="1"/>
  <c r="G173" i="3"/>
  <c r="G182" i="3" s="1"/>
  <c r="I238" i="3"/>
  <c r="H238" i="3"/>
  <c r="J9" i="3" l="1"/>
  <c r="J133" i="3"/>
  <c r="D8" i="7"/>
  <c r="E8" i="5"/>
  <c r="O19" i="5"/>
  <c r="D34" i="7"/>
  <c r="D33" i="7"/>
  <c r="Q16" i="7"/>
  <c r="T36" i="7" s="1"/>
  <c r="D10" i="7"/>
  <c r="E28" i="7" s="1"/>
  <c r="C55" i="7"/>
  <c r="C57" i="7" s="1"/>
  <c r="C63" i="7"/>
  <c r="F11" i="5"/>
  <c r="E10" i="5"/>
  <c r="F28" i="5" s="1"/>
  <c r="H11" i="5"/>
  <c r="E11" i="5"/>
  <c r="J11" i="5"/>
  <c r="I11" i="5"/>
  <c r="G11" i="5"/>
  <c r="E35" i="5"/>
  <c r="E27" i="5" s="1"/>
  <c r="D55" i="5"/>
  <c r="D57" i="5" s="1"/>
  <c r="D63" i="5"/>
  <c r="J244" i="3"/>
  <c r="K244" i="3" s="1"/>
  <c r="G236" i="3"/>
  <c r="G237" i="3" s="1"/>
  <c r="J175" i="3"/>
  <c r="J184" i="3" s="1"/>
  <c r="H184" i="3"/>
  <c r="J174" i="3"/>
  <c r="J173" i="3"/>
  <c r="J182" i="3" s="1"/>
  <c r="J231" i="3"/>
  <c r="I231" i="3"/>
  <c r="I236" i="3" s="1"/>
  <c r="I237" i="3" s="1"/>
  <c r="H236" i="3"/>
  <c r="H237" i="3" s="1"/>
  <c r="J27" i="3"/>
  <c r="K153" i="3"/>
  <c r="I209" i="3"/>
  <c r="I208" i="3"/>
  <c r="I169" i="3"/>
  <c r="G209" i="3"/>
  <c r="H206" i="3" s="1"/>
  <c r="H207" i="3" s="1"/>
  <c r="I203" i="3"/>
  <c r="I202" i="3"/>
  <c r="H202" i="3"/>
  <c r="H203" i="3"/>
  <c r="I200" i="3" s="1"/>
  <c r="H200" i="3"/>
  <c r="H168" i="3" s="1"/>
  <c r="G164" i="3"/>
  <c r="H164" i="3"/>
  <c r="I164" i="3"/>
  <c r="G10" i="3"/>
  <c r="G178" i="3" s="1"/>
  <c r="G187" i="3" s="1"/>
  <c r="G14" i="3"/>
  <c r="G152" i="3" s="1"/>
  <c r="H17" i="3"/>
  <c r="H155" i="3" s="1"/>
  <c r="G17" i="3"/>
  <c r="I17" i="3"/>
  <c r="I155" i="3" s="1"/>
  <c r="I16" i="3"/>
  <c r="I154" i="3" s="1"/>
  <c r="H16" i="3"/>
  <c r="H154" i="3" s="1"/>
  <c r="G16" i="3"/>
  <c r="G154" i="3" s="1"/>
  <c r="I15" i="3"/>
  <c r="I153" i="3" s="1"/>
  <c r="H15" i="3"/>
  <c r="H153" i="3" s="1"/>
  <c r="G15" i="3"/>
  <c r="G153" i="3" s="1"/>
  <c r="I14" i="3"/>
  <c r="I152" i="3" s="1"/>
  <c r="H14" i="3"/>
  <c r="H152" i="3" s="1"/>
  <c r="I10" i="3"/>
  <c r="I178" i="3" s="1"/>
  <c r="I187" i="3" s="1"/>
  <c r="H10" i="3"/>
  <c r="H178" i="3" s="1"/>
  <c r="H187" i="3" s="1"/>
  <c r="H21" i="3"/>
  <c r="I21" i="3"/>
  <c r="G21" i="3"/>
  <c r="I144" i="3"/>
  <c r="H141" i="3"/>
  <c r="H133" i="3"/>
  <c r="D35" i="7" l="1"/>
  <c r="D27" i="7" s="1"/>
  <c r="J206" i="3"/>
  <c r="J15" i="3"/>
  <c r="J16" i="3"/>
  <c r="J200" i="3"/>
  <c r="I201" i="3"/>
  <c r="E12" i="5"/>
  <c r="K175" i="3"/>
  <c r="K184" i="3" s="1"/>
  <c r="J237" i="3"/>
  <c r="K237" i="3" s="1"/>
  <c r="K27" i="3"/>
  <c r="K100" i="3"/>
  <c r="K132" i="3"/>
  <c r="K9" i="3" s="1"/>
  <c r="J38" i="3"/>
  <c r="J232" i="3"/>
  <c r="J119" i="3" s="1"/>
  <c r="K174" i="3"/>
  <c r="K183" i="3" s="1"/>
  <c r="J183" i="3"/>
  <c r="K173" i="3"/>
  <c r="K182" i="3" s="1"/>
  <c r="J178" i="3"/>
  <c r="H169" i="3"/>
  <c r="J169" i="3" s="1"/>
  <c r="K169" i="3" s="1"/>
  <c r="I176" i="3"/>
  <c r="I185" i="3" s="1"/>
  <c r="I177" i="3"/>
  <c r="I186" i="3" s="1"/>
  <c r="I179" i="3"/>
  <c r="I188" i="3" s="1"/>
  <c r="J155" i="3"/>
  <c r="K155" i="3" s="1"/>
  <c r="G11" i="3"/>
  <c r="G12" i="3" s="1"/>
  <c r="G179" i="3"/>
  <c r="G188" i="3" s="1"/>
  <c r="G176" i="3"/>
  <c r="G185" i="3" s="1"/>
  <c r="G177" i="3"/>
  <c r="G186" i="3" s="1"/>
  <c r="I151" i="3"/>
  <c r="H151" i="3"/>
  <c r="H179" i="3"/>
  <c r="H176" i="3"/>
  <c r="H177" i="3"/>
  <c r="K154" i="3"/>
  <c r="I206" i="3"/>
  <c r="I207" i="3" s="1"/>
  <c r="J207" i="3" s="1"/>
  <c r="I168" i="3"/>
  <c r="J168" i="3" s="1"/>
  <c r="H201" i="3"/>
  <c r="G151" i="3"/>
  <c r="I11" i="3"/>
  <c r="G155" i="3"/>
  <c r="J106" i="3" l="1"/>
  <c r="K207" i="3"/>
  <c r="K106" i="3" s="1"/>
  <c r="J179" i="3"/>
  <c r="K91" i="3"/>
  <c r="J91" i="3"/>
  <c r="J208" i="3"/>
  <c r="J166" i="3" s="1"/>
  <c r="J151" i="3"/>
  <c r="J10" i="3" s="1"/>
  <c r="J234" i="3"/>
  <c r="K231" i="3"/>
  <c r="K232" i="3" s="1"/>
  <c r="G189" i="3"/>
  <c r="J40" i="3"/>
  <c r="J39" i="3"/>
  <c r="I189" i="3"/>
  <c r="K178" i="3"/>
  <c r="K187" i="3" s="1"/>
  <c r="J187" i="3"/>
  <c r="K15" i="3"/>
  <c r="K40" i="3"/>
  <c r="K39" i="3"/>
  <c r="K38" i="3"/>
  <c r="J177" i="3"/>
  <c r="H186" i="3"/>
  <c r="J176" i="3"/>
  <c r="J185" i="3" s="1"/>
  <c r="H185" i="3"/>
  <c r="H188" i="3"/>
  <c r="G22" i="3"/>
  <c r="G24" i="3" s="1"/>
  <c r="G25" i="3" s="1"/>
  <c r="K16" i="3"/>
  <c r="J14" i="3"/>
  <c r="I22" i="3"/>
  <c r="J114" i="3"/>
  <c r="I12" i="3"/>
  <c r="K14" i="3"/>
  <c r="J64" i="3" l="1"/>
  <c r="J69" i="3" s="1"/>
  <c r="G9" i="5"/>
  <c r="H9" i="5" s="1"/>
  <c r="I9" i="5" s="1"/>
  <c r="J9" i="5" s="1"/>
  <c r="F9" i="7"/>
  <c r="G9" i="7" s="1"/>
  <c r="H9" i="7" s="1"/>
  <c r="I9" i="7" s="1"/>
  <c r="J9" i="7" s="1"/>
  <c r="K9" i="7" s="1"/>
  <c r="L9" i="7" s="1"/>
  <c r="M9" i="7" s="1"/>
  <c r="N9" i="7" s="1"/>
  <c r="J209" i="3"/>
  <c r="J47" i="3" s="1"/>
  <c r="F9" i="5"/>
  <c r="E9" i="7"/>
  <c r="K92" i="3"/>
  <c r="J92" i="3"/>
  <c r="K234" i="3"/>
  <c r="K236" i="3" s="1"/>
  <c r="K238" i="3" s="1"/>
  <c r="K28" i="3" s="1"/>
  <c r="K119" i="3"/>
  <c r="J236" i="3"/>
  <c r="J238" i="3" s="1"/>
  <c r="J28" i="3" s="1"/>
  <c r="K151" i="3"/>
  <c r="K10" i="3" s="1"/>
  <c r="K11" i="3" s="1"/>
  <c r="K12" i="3" s="1"/>
  <c r="J11" i="3"/>
  <c r="J12" i="3" s="1"/>
  <c r="J59" i="3"/>
  <c r="K176" i="3"/>
  <c r="K185" i="3" s="1"/>
  <c r="J41" i="3"/>
  <c r="J58" i="3"/>
  <c r="J57" i="3"/>
  <c r="K177" i="3"/>
  <c r="K186" i="3" s="1"/>
  <c r="J186" i="3"/>
  <c r="J189" i="3" s="1"/>
  <c r="K206" i="3"/>
  <c r="K208" i="3" s="1"/>
  <c r="K166" i="3" s="1"/>
  <c r="K19" i="3" s="1"/>
  <c r="K179" i="3"/>
  <c r="K188" i="3" s="1"/>
  <c r="J188" i="3"/>
  <c r="H189" i="3"/>
  <c r="I24" i="3"/>
  <c r="I25" i="3" s="1"/>
  <c r="I29" i="3"/>
  <c r="J165" i="3"/>
  <c r="J18" i="3" s="1"/>
  <c r="K168" i="3"/>
  <c r="K114" i="3"/>
  <c r="K64" i="3" l="1"/>
  <c r="K69" i="3" s="1"/>
  <c r="I32" i="3"/>
  <c r="I197" i="3" s="1"/>
  <c r="I228" i="3"/>
  <c r="J90" i="3"/>
  <c r="J94" i="3"/>
  <c r="K94" i="3"/>
  <c r="J93" i="3"/>
  <c r="K58" i="3"/>
  <c r="K41" i="3"/>
  <c r="K90" i="3" s="1"/>
  <c r="K59" i="3"/>
  <c r="I33" i="3"/>
  <c r="I193" i="3"/>
  <c r="J202" i="3"/>
  <c r="J21" i="3"/>
  <c r="J86" i="3" s="1"/>
  <c r="J62" i="3"/>
  <c r="J71" i="3" s="1"/>
  <c r="K57" i="3"/>
  <c r="K189" i="3"/>
  <c r="K209" i="3"/>
  <c r="K47" i="3" s="1"/>
  <c r="K93" i="3" l="1"/>
  <c r="J203" i="3"/>
  <c r="J46" i="3" s="1"/>
  <c r="J52" i="3" s="1"/>
  <c r="Q18" i="7"/>
  <c r="T37" i="7" s="1"/>
  <c r="T41" i="7" s="1"/>
  <c r="O21" i="5"/>
  <c r="K62" i="3"/>
  <c r="K71" i="3" s="1"/>
  <c r="J97" i="3"/>
  <c r="J89" i="3" s="1"/>
  <c r="K97" i="3"/>
  <c r="K89" i="3" s="1"/>
  <c r="K200" i="3"/>
  <c r="J22" i="3"/>
  <c r="J140" i="3" s="1"/>
  <c r="L11" i="7" l="1"/>
  <c r="I11" i="7"/>
  <c r="M11" i="7"/>
  <c r="F11" i="7"/>
  <c r="H11" i="7"/>
  <c r="E11" i="7"/>
  <c r="J11" i="7"/>
  <c r="K11" i="7"/>
  <c r="D11" i="7"/>
  <c r="D12" i="7" s="1"/>
  <c r="N11" i="7"/>
  <c r="G11" i="7"/>
  <c r="K165" i="3"/>
  <c r="K202" i="3" s="1"/>
  <c r="K203" i="3" s="1"/>
  <c r="K46" i="3" s="1"/>
  <c r="K52" i="3" s="1"/>
  <c r="J141" i="3"/>
  <c r="K141" i="3" s="1"/>
  <c r="J24" i="3"/>
  <c r="J25" i="3" s="1"/>
  <c r="J29" i="3"/>
  <c r="K18" i="3" l="1"/>
  <c r="J31" i="3"/>
  <c r="J85" i="3" s="1"/>
  <c r="J32" i="3"/>
  <c r="J193" i="3" s="1"/>
  <c r="J194" i="3" s="1"/>
  <c r="J117" i="3" s="1"/>
  <c r="K21" i="3" l="1"/>
  <c r="K86" i="3" s="1"/>
  <c r="K22" i="3"/>
  <c r="J33" i="3"/>
  <c r="J83" i="3"/>
  <c r="J104" i="3" s="1"/>
  <c r="F8" i="5" l="1"/>
  <c r="F10" i="5" s="1"/>
  <c r="E8" i="7"/>
  <c r="E10" i="7" s="1"/>
  <c r="K140" i="3"/>
  <c r="K24" i="3"/>
  <c r="K25" i="3" s="1"/>
  <c r="K29" i="3"/>
  <c r="K31" i="3" s="1"/>
  <c r="K85" i="3" s="1"/>
  <c r="K32" i="3"/>
  <c r="F28" i="7" l="1"/>
  <c r="E12" i="7"/>
  <c r="F12" i="5"/>
  <c r="G28" i="5"/>
  <c r="K33" i="3"/>
  <c r="K193" i="3"/>
  <c r="K83" i="3"/>
  <c r="K104" i="3" s="1"/>
  <c r="G8" i="1" l="1"/>
  <c r="H8" i="1" s="1"/>
  <c r="F8" i="7"/>
  <c r="G8" i="5"/>
  <c r="H120" i="3"/>
  <c r="I120" i="3"/>
  <c r="I122" i="3" s="1"/>
  <c r="G120" i="3"/>
  <c r="H114" i="3"/>
  <c r="G114" i="3"/>
  <c r="H79" i="3"/>
  <c r="I79" i="3"/>
  <c r="G79" i="3"/>
  <c r="H69" i="3"/>
  <c r="I69" i="3"/>
  <c r="G69" i="3"/>
  <c r="I62" i="3"/>
  <c r="H62" i="3"/>
  <c r="G62" i="3"/>
  <c r="H52" i="3"/>
  <c r="I52" i="3"/>
  <c r="G52" i="3"/>
  <c r="H44" i="3"/>
  <c r="G44" i="3"/>
  <c r="H11" i="3"/>
  <c r="H8" i="5" l="1"/>
  <c r="G10" i="5"/>
  <c r="G8" i="7"/>
  <c r="F10" i="7"/>
  <c r="G122" i="3"/>
  <c r="G125" i="3" s="1"/>
  <c r="H123" i="3" s="1"/>
  <c r="H12" i="3"/>
  <c r="H22" i="3"/>
  <c r="H24" i="3" s="1"/>
  <c r="H25" i="3" s="1"/>
  <c r="G29" i="3"/>
  <c r="G32" i="3" s="1"/>
  <c r="H122" i="3"/>
  <c r="H71" i="3"/>
  <c r="I71" i="3"/>
  <c r="G71" i="3"/>
  <c r="G54" i="3"/>
  <c r="I54" i="3"/>
  <c r="H54" i="3"/>
  <c r="D218" i="3"/>
  <c r="G28" i="7" l="1"/>
  <c r="F12" i="7"/>
  <c r="H28" i="5"/>
  <c r="G12" i="5"/>
  <c r="H8" i="7"/>
  <c r="G10" i="7"/>
  <c r="H10" i="5"/>
  <c r="I8" i="5"/>
  <c r="G33" i="3"/>
  <c r="G197" i="3"/>
  <c r="I73" i="3"/>
  <c r="I80" i="3" s="1"/>
  <c r="H125" i="3"/>
  <c r="I123" i="3" s="1"/>
  <c r="I125" i="3" s="1"/>
  <c r="J123" i="3" s="1"/>
  <c r="G73" i="3"/>
  <c r="G80" i="3" s="1"/>
  <c r="H73" i="3"/>
  <c r="H80" i="3" s="1"/>
  <c r="H29" i="3"/>
  <c r="H32" i="3" s="1"/>
  <c r="H197" i="3" s="1"/>
  <c r="H28" i="7" l="1"/>
  <c r="G12" i="7"/>
  <c r="I10" i="5"/>
  <c r="J8" i="5"/>
  <c r="J10" i="5" s="1"/>
  <c r="H12" i="5"/>
  <c r="I28" i="5"/>
  <c r="I8" i="7"/>
  <c r="H10" i="7"/>
  <c r="H33" i="3"/>
  <c r="Q152" i="3"/>
  <c r="I28" i="7" l="1"/>
  <c r="H12" i="7"/>
  <c r="I10" i="7"/>
  <c r="J8" i="7"/>
  <c r="E17" i="5"/>
  <c r="K28" i="5"/>
  <c r="J12" i="5"/>
  <c r="E16" i="5" s="1"/>
  <c r="I12" i="5"/>
  <c r="J28" i="5"/>
  <c r="K194" i="3"/>
  <c r="Q133" i="3"/>
  <c r="J10" i="7" l="1"/>
  <c r="J12" i="7" s="1"/>
  <c r="K8" i="7"/>
  <c r="E18" i="5"/>
  <c r="E19" i="5" s="1"/>
  <c r="E21" i="5" s="1"/>
  <c r="E22" i="5" s="1"/>
  <c r="L28" i="5"/>
  <c r="I12" i="7"/>
  <c r="J28" i="7"/>
  <c r="E37" i="5"/>
  <c r="K117" i="3"/>
  <c r="K120" i="3" s="1"/>
  <c r="K122" i="3" s="1"/>
  <c r="J120" i="3"/>
  <c r="J122" i="3" s="1"/>
  <c r="J195" i="3"/>
  <c r="J77" i="3" s="1"/>
  <c r="K10" i="7" l="1"/>
  <c r="K12" i="7" s="1"/>
  <c r="L8" i="7"/>
  <c r="J125" i="3"/>
  <c r="J37" i="3" s="1"/>
  <c r="J79" i="3"/>
  <c r="K192" i="3"/>
  <c r="K195" i="3" s="1"/>
  <c r="K77" i="3" s="1"/>
  <c r="L10" i="7" l="1"/>
  <c r="L12" i="7" s="1"/>
  <c r="M8" i="7"/>
  <c r="K79" i="3"/>
  <c r="K123" i="3"/>
  <c r="K125" i="3" s="1"/>
  <c r="K37" i="3" s="1"/>
  <c r="N8" i="7" l="1"/>
  <c r="N10" i="7" s="1"/>
  <c r="M10" i="7"/>
  <c r="M12" i="7" s="1"/>
  <c r="K44" i="3"/>
  <c r="K54" i="3" s="1"/>
  <c r="K73" i="3" s="1"/>
  <c r="K80" i="3" s="1"/>
  <c r="D17" i="7" l="1"/>
  <c r="N12" i="7"/>
  <c r="D16" i="7" s="1"/>
  <c r="K5" i="1"/>
  <c r="H6" i="1" s="1"/>
  <c r="D8" i="1"/>
  <c r="E28" i="1"/>
  <c r="F28" i="1"/>
  <c r="G28" i="1"/>
  <c r="D28" i="1"/>
  <c r="E53" i="1"/>
  <c r="E51" i="1" s="1"/>
  <c r="F53" i="1"/>
  <c r="F51" i="1" s="1"/>
  <c r="G53" i="1"/>
  <c r="G51" i="1" s="1"/>
  <c r="D53" i="1"/>
  <c r="D51" i="1" s="1"/>
  <c r="D18" i="7" l="1"/>
  <c r="D19" i="7" s="1"/>
  <c r="D21" i="7" s="1"/>
  <c r="D22" i="7" s="1"/>
  <c r="K28" i="7"/>
  <c r="D37" i="7" s="1"/>
  <c r="G6" i="1"/>
  <c r="J6" i="1"/>
  <c r="I6" i="1"/>
  <c r="J44" i="3"/>
  <c r="J54" i="3" s="1"/>
  <c r="J73" i="3" s="1"/>
  <c r="J8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tc={5CAB5E78-D977-A848-BB30-127768F69AA5}</author>
  </authors>
  <commentList>
    <comment ref="H238" authorId="0" shapeId="0" xr:uid="{5CAB5E78-D977-A848-BB30-127768F69A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usual</t>
      </text>
    </comment>
  </commentList>
</comments>
</file>

<file path=xl/sharedStrings.xml><?xml version="1.0" encoding="utf-8"?>
<sst xmlns="http://schemas.openxmlformats.org/spreadsheetml/2006/main" count="426" uniqueCount="318">
  <si>
    <t>sales by segment</t>
  </si>
  <si>
    <t>sales by region</t>
  </si>
  <si>
    <t>earnings per share ratio</t>
  </si>
  <si>
    <t>year</t>
  </si>
  <si>
    <t>earnings per share</t>
  </si>
  <si>
    <t>% change</t>
  </si>
  <si>
    <t>P/E ratio comparison with competitors</t>
  </si>
  <si>
    <t>companies</t>
  </si>
  <si>
    <t>P/E ratio</t>
  </si>
  <si>
    <t>sales</t>
  </si>
  <si>
    <t xml:space="preserve">% change </t>
  </si>
  <si>
    <t>sales growth (DKK million)</t>
  </si>
  <si>
    <t>what caused this sales growth?</t>
  </si>
  <si>
    <t>from 2022 to 2023???</t>
  </si>
  <si>
    <t>why did EPS steeply increased from 2022 to 2023</t>
  </si>
  <si>
    <t>Diabetes and Obesity Care</t>
  </si>
  <si>
    <t>Rare Disease</t>
  </si>
  <si>
    <t>China</t>
  </si>
  <si>
    <t>North America Operations</t>
  </si>
  <si>
    <t>Rest of the world</t>
  </si>
  <si>
    <t>Rest of World: All other countries except for North America.</t>
  </si>
  <si>
    <t>Mainland China, Hong Kong and Taiwan</t>
  </si>
  <si>
    <t>Novo Nordisk</t>
  </si>
  <si>
    <t>Sanofi</t>
  </si>
  <si>
    <t>source: yahoo finance</t>
  </si>
  <si>
    <t xml:space="preserve">why does P/E ratio differ so much? </t>
  </si>
  <si>
    <t>AstraZeneca</t>
  </si>
  <si>
    <t>bigger company generally means bigger PE</t>
  </si>
  <si>
    <t>Eli Lilly</t>
  </si>
  <si>
    <t>increase demand for ozempic, supply unable to keep up so causes limited supply.</t>
  </si>
  <si>
    <t xml:space="preserve">year </t>
  </si>
  <si>
    <t>66b</t>
  </si>
  <si>
    <t>118b</t>
  </si>
  <si>
    <t>market value</t>
  </si>
  <si>
    <t xml:space="preserve"> diabetes drug market</t>
  </si>
  <si>
    <t>sales by business segment</t>
  </si>
  <si>
    <t>EMEA</t>
  </si>
  <si>
    <t>Column1</t>
  </si>
  <si>
    <t>Column2</t>
  </si>
  <si>
    <t>Column3</t>
  </si>
  <si>
    <t>Net debt to equity</t>
  </si>
  <si>
    <t>Net debt</t>
  </si>
  <si>
    <t>interest Expense</t>
  </si>
  <si>
    <t>Interest rate</t>
  </si>
  <si>
    <t>Average debt</t>
  </si>
  <si>
    <t>b/f</t>
  </si>
  <si>
    <t>Drawdown</t>
  </si>
  <si>
    <t>Repayment</t>
  </si>
  <si>
    <t>C/F</t>
  </si>
  <si>
    <t>Debt Schedule</t>
  </si>
  <si>
    <t>Tax rate</t>
  </si>
  <si>
    <t>Total depreciation</t>
  </si>
  <si>
    <t>Exisiting</t>
  </si>
  <si>
    <t>Fixed Asset Base</t>
  </si>
  <si>
    <t>Depreciation:</t>
  </si>
  <si>
    <t>New</t>
  </si>
  <si>
    <t>Useful Life:</t>
  </si>
  <si>
    <t>Depreciation schedule</t>
  </si>
  <si>
    <t>Less: Depreciation</t>
  </si>
  <si>
    <t>Capex/(Disposals)</t>
  </si>
  <si>
    <t>B/F</t>
  </si>
  <si>
    <t>PPE Calculations</t>
  </si>
  <si>
    <t>Dividend Payout Ratio</t>
  </si>
  <si>
    <t>Less: Dividend paid</t>
  </si>
  <si>
    <t>Net Profit</t>
  </si>
  <si>
    <t>Retained earnings calculations</t>
  </si>
  <si>
    <t>Cash Conversion Cycle</t>
  </si>
  <si>
    <t>Other Payable Turnover</t>
  </si>
  <si>
    <t>Trade Payable Turnover</t>
  </si>
  <si>
    <t>Inventory Turnover</t>
  </si>
  <si>
    <t>Other Receivable Turnover</t>
  </si>
  <si>
    <t>Trade Receivable turnover</t>
  </si>
  <si>
    <t>Turnover days</t>
  </si>
  <si>
    <t>Turnover (x)</t>
  </si>
  <si>
    <t>Working Capital</t>
  </si>
  <si>
    <t>Distribution cost/revenue</t>
  </si>
  <si>
    <t>Admin exp/revenue</t>
  </si>
  <si>
    <t>COGS/Revenue</t>
  </si>
  <si>
    <t>Cost model</t>
  </si>
  <si>
    <t>Revenue model</t>
  </si>
  <si>
    <t>Please detail out your workings and clearly state your assumptions below here to support your 3-statement financial model above. Make further assumptions &amp; workings of your own that may not be stated in the instructions if required.</t>
  </si>
  <si>
    <t>Assumptions &amp; Workings</t>
  </si>
  <si>
    <t>Cash &amp; cash equivalents at the end of the year</t>
  </si>
  <si>
    <t>Cash &amp; cash equivalents at the beginning of the year</t>
  </si>
  <si>
    <t>Net change in cash</t>
  </si>
  <si>
    <t>Net Cash Flow from Financing Activities</t>
  </si>
  <si>
    <t>Dividends paid</t>
  </si>
  <si>
    <t>Repayment of borrowings</t>
  </si>
  <si>
    <t>Net Cash Flow from Investing Activities</t>
  </si>
  <si>
    <t>Interest received</t>
  </si>
  <si>
    <t>Net Cash Flow from Operating Activities</t>
  </si>
  <si>
    <t>Income taxes paid</t>
  </si>
  <si>
    <t>Interest paid</t>
  </si>
  <si>
    <t>Inventory</t>
  </si>
  <si>
    <t>Cash Flow Statement</t>
  </si>
  <si>
    <t>Total Equity</t>
  </si>
  <si>
    <t>Retained earnings</t>
  </si>
  <si>
    <t>Other reserves</t>
  </si>
  <si>
    <t>Share capital</t>
  </si>
  <si>
    <t>Net Assets</t>
  </si>
  <si>
    <t>Total Liabilities</t>
  </si>
  <si>
    <t>Total Non-Current Liabilities</t>
  </si>
  <si>
    <t>Borrowings</t>
  </si>
  <si>
    <t>Total Current Liabilities</t>
  </si>
  <si>
    <t>Trade payables</t>
  </si>
  <si>
    <t>Total Assets</t>
  </si>
  <si>
    <t>Total Non-Current Assets</t>
  </si>
  <si>
    <t>Property, plant and equipment</t>
  </si>
  <si>
    <t>Total Current Assets</t>
  </si>
  <si>
    <t>Trade receivables</t>
  </si>
  <si>
    <t>Balance Sheet</t>
  </si>
  <si>
    <t>% margin</t>
  </si>
  <si>
    <t>Profit for the period</t>
  </si>
  <si>
    <t>Income tax expense</t>
  </si>
  <si>
    <t>PBT</t>
  </si>
  <si>
    <t>EBITDA</t>
  </si>
  <si>
    <t>Operating Profit</t>
  </si>
  <si>
    <t>Administrative expenses</t>
  </si>
  <si>
    <t>Gross Profit</t>
  </si>
  <si>
    <t>Cost of goods sold</t>
  </si>
  <si>
    <t>Revenue</t>
  </si>
  <si>
    <t>Income Statement</t>
  </si>
  <si>
    <t>Notes:</t>
  </si>
  <si>
    <t>Forecast</t>
  </si>
  <si>
    <t>Historical</t>
  </si>
  <si>
    <t>All in DKK'm unless otherwise specified</t>
  </si>
  <si>
    <t>Research and development costs</t>
  </si>
  <si>
    <t>Sales and distribution costs</t>
  </si>
  <si>
    <t>Other operating income and expenses</t>
  </si>
  <si>
    <t>Cash at bank</t>
  </si>
  <si>
    <t>Other receivables and prepayments</t>
  </si>
  <si>
    <t>Tax receivables</t>
  </si>
  <si>
    <t>Marketable securities</t>
  </si>
  <si>
    <t>Derivative financial instruments</t>
  </si>
  <si>
    <t>Intangible assets</t>
  </si>
  <si>
    <t>Investments in associated companies</t>
  </si>
  <si>
    <t>Deferred income tax assets</t>
  </si>
  <si>
    <t xml:space="preserve">Other financial assets </t>
  </si>
  <si>
    <t>Tax payables</t>
  </si>
  <si>
    <t>Other liabilities</t>
  </si>
  <si>
    <t>Provisions</t>
  </si>
  <si>
    <t>Deferred income tax liabilities</t>
  </si>
  <si>
    <t>Retirement benefit obligations</t>
  </si>
  <si>
    <t>Treasury shares</t>
  </si>
  <si>
    <t>Adjustments of non-cash items:</t>
  </si>
  <si>
    <t>Net profit</t>
  </si>
  <si>
    <t>Income taxes in the income statement</t>
  </si>
  <si>
    <t>Depreciation, amortisation, and impairment losses</t>
  </si>
  <si>
    <t>Other non-cash items</t>
  </si>
  <si>
    <t>Purchase of intangible assets</t>
  </si>
  <si>
    <t>Purchase of property, plant, and equipment</t>
  </si>
  <si>
    <t>Cash used for acquisition of businesses</t>
  </si>
  <si>
    <t>Proceeds from other financial assets</t>
  </si>
  <si>
    <t>Purchase of other financial assets</t>
  </si>
  <si>
    <t>Purchase of marketable securities</t>
  </si>
  <si>
    <t>Sale of marketable securities</t>
  </si>
  <si>
    <t>Dividend received from associated companies</t>
  </si>
  <si>
    <t>Purchase of treasury shares</t>
  </si>
  <si>
    <t>Proceeds from borrowings</t>
  </si>
  <si>
    <t>Exchange gains/ (losses) on cash and cash equivalents</t>
  </si>
  <si>
    <t>X</t>
  </si>
  <si>
    <t>justification:</t>
  </si>
  <si>
    <t>Revenue growth (%) 22% to 28%</t>
  </si>
  <si>
    <t>rate of h1 2023 to full year 2023</t>
  </si>
  <si>
    <t xml:space="preserve">H1 2023 </t>
  </si>
  <si>
    <t>H1 to full year rate (%)</t>
  </si>
  <si>
    <t>H1 2024</t>
  </si>
  <si>
    <t>Profit</t>
  </si>
  <si>
    <t>Profit growth (%) 20% to 28%</t>
  </si>
  <si>
    <t>R&amp;D/revenue</t>
  </si>
  <si>
    <t>Other operating expense and income/revenue</t>
  </si>
  <si>
    <t>COGS</t>
  </si>
  <si>
    <t>Depreciation and Impairment losses on PPE</t>
  </si>
  <si>
    <t>Amortisation and Impairment losses on Intangible asset</t>
  </si>
  <si>
    <t>Total Depreciation, Amortisation, and Impairment losses</t>
  </si>
  <si>
    <t>adjusted excluding depreciation, amortisation, and impairment loss</t>
  </si>
  <si>
    <t>adjusted</t>
  </si>
  <si>
    <t>^</t>
  </si>
  <si>
    <t>Exceptional Item: Impairment loss intangible asset Ocedurenone</t>
  </si>
  <si>
    <t>Depreciation, Amortisation, and Impairment Loss</t>
  </si>
  <si>
    <t>Total</t>
  </si>
  <si>
    <t>PPE (%)</t>
  </si>
  <si>
    <t>Intangible Assets Calculations</t>
  </si>
  <si>
    <t>Intangible Asset (%)</t>
  </si>
  <si>
    <t>so loww why</t>
  </si>
  <si>
    <t>using h1 2024</t>
  </si>
  <si>
    <t>using average of 2 years</t>
  </si>
  <si>
    <t>Financial income</t>
  </si>
  <si>
    <t>Financial costs</t>
  </si>
  <si>
    <t>forecasting other operating income? H1 2024</t>
  </si>
  <si>
    <t>2022 low bc no capital gains from forward contracts, investments, marketable securities</t>
  </si>
  <si>
    <t>2021A</t>
  </si>
  <si>
    <t>2022A</t>
  </si>
  <si>
    <t>2023A</t>
  </si>
  <si>
    <t>2024E</t>
  </si>
  <si>
    <t>using h1 2024 (18.6%)</t>
  </si>
  <si>
    <t>spends record amounts on research to fend off rivals (on what?)</t>
  </si>
  <si>
    <t>how to find repayments?</t>
  </si>
  <si>
    <t>The effective tax rate for 2024 is expected to be in the range of 19-21%</t>
  </si>
  <si>
    <t>Tax Receivables turnover</t>
  </si>
  <si>
    <t>Tax receivables turnover</t>
  </si>
  <si>
    <t>Tax Payable Turnover</t>
  </si>
  <si>
    <t>2025E</t>
  </si>
  <si>
    <t>Provisions for Trade Receivables</t>
  </si>
  <si>
    <t>assumptions for adjustments***</t>
  </si>
  <si>
    <t>Change in working capital:</t>
  </si>
  <si>
    <t>change in inventories</t>
  </si>
  <si>
    <t xml:space="preserve">change in trade receivables </t>
  </si>
  <si>
    <t>change in other receivables and prepayments</t>
  </si>
  <si>
    <t xml:space="preserve">change in trade payables </t>
  </si>
  <si>
    <t>change in other liabilities</t>
  </si>
  <si>
    <t>adjustments for payables related to NCA</t>
  </si>
  <si>
    <t>adjustments related to acquisition of business</t>
  </si>
  <si>
    <t>change in working capital including exchange rate adjustments</t>
  </si>
  <si>
    <t>exchange rate adjustments</t>
  </si>
  <si>
    <t>FCFE method</t>
  </si>
  <si>
    <t>CFO</t>
  </si>
  <si>
    <t>Beta</t>
  </si>
  <si>
    <t>Cost of Equity</t>
  </si>
  <si>
    <t>FCFE</t>
  </si>
  <si>
    <t>Discount factor</t>
  </si>
  <si>
    <t>PV</t>
  </si>
  <si>
    <t>Sum of PV</t>
  </si>
  <si>
    <t>Terminal value</t>
  </si>
  <si>
    <t>PV of terminal value</t>
  </si>
  <si>
    <t>Equity Value (USD mil)</t>
  </si>
  <si>
    <t>Calculating Equity IRR</t>
  </si>
  <si>
    <t>Terminal Value</t>
  </si>
  <si>
    <t>Outlay</t>
  </si>
  <si>
    <t>Seller's propossal</t>
  </si>
  <si>
    <t>Proposed EV/EBITDA (X)</t>
  </si>
  <si>
    <t>2018 EBITDA</t>
  </si>
  <si>
    <t>Enterprise Value</t>
  </si>
  <si>
    <t>Less: Debt</t>
  </si>
  <si>
    <t>Equity IRR</t>
  </si>
  <si>
    <t>Multiple Method</t>
  </si>
  <si>
    <t>Companies with most similair EBITDA margin to WidgePro</t>
  </si>
  <si>
    <t>Comp</t>
  </si>
  <si>
    <t>2021 PE Multiple</t>
  </si>
  <si>
    <t>2021 EV EBITDA multiple</t>
  </si>
  <si>
    <t>ebitda margin</t>
  </si>
  <si>
    <t>A</t>
  </si>
  <si>
    <t>C</t>
  </si>
  <si>
    <t>E</t>
  </si>
  <si>
    <t>G</t>
  </si>
  <si>
    <t>L</t>
  </si>
  <si>
    <t>D</t>
  </si>
  <si>
    <t>Average</t>
  </si>
  <si>
    <t>EV/EBITDA target multiple</t>
  </si>
  <si>
    <t>Widgepro's 2021 EBITDA</t>
  </si>
  <si>
    <t>Target EV/EBITDA (based on peer group w similair margin, X)</t>
  </si>
  <si>
    <t>2021 debt</t>
  </si>
  <si>
    <t>Equity value (USD mil)</t>
  </si>
  <si>
    <t>PER target multiple</t>
  </si>
  <si>
    <t>Widgepro's 2021 Earnings (USD mil)</t>
  </si>
  <si>
    <t>target PER (based on peer group with similair margin, X)</t>
  </si>
  <si>
    <t>Financial Data</t>
  </si>
  <si>
    <t>Revenue (Million Euros)</t>
  </si>
  <si>
    <t>Revenue Growth</t>
  </si>
  <si>
    <t>EBITDA (Million Euros)</t>
  </si>
  <si>
    <t>EBIT (Million Euros)</t>
  </si>
  <si>
    <t>PBT (Million Euros)</t>
  </si>
  <si>
    <t>PATAMI (Million Euros)</t>
  </si>
  <si>
    <t>EPS</t>
  </si>
  <si>
    <t>BVPS</t>
  </si>
  <si>
    <t>GDPS</t>
  </si>
  <si>
    <t>FCF</t>
  </si>
  <si>
    <t>Key Ratios</t>
  </si>
  <si>
    <t>PER (x)</t>
  </si>
  <si>
    <t>PTBV (x)</t>
  </si>
  <si>
    <t>Div. yield (%)</t>
  </si>
  <si>
    <t>Div. payout (%)</t>
  </si>
  <si>
    <t>EBITDA margin (%)</t>
  </si>
  <si>
    <t>EBIT margin (%)</t>
  </si>
  <si>
    <t>PBT margin (%)</t>
  </si>
  <si>
    <t>PATAMI margin (%)</t>
  </si>
  <si>
    <t>ROE (%)</t>
  </si>
  <si>
    <t>ROA (%)</t>
  </si>
  <si>
    <t>Net debt (Million Euros)</t>
  </si>
  <si>
    <t>Net gearing (x)</t>
  </si>
  <si>
    <t>FCF yield (%)</t>
  </si>
  <si>
    <t>Total Number of shares</t>
  </si>
  <si>
    <t>Average Share Price</t>
  </si>
  <si>
    <t>significant step up in CAPEX</t>
  </si>
  <si>
    <t>Less: amortisation</t>
  </si>
  <si>
    <t>historical, key financial highlights, forward looking too</t>
  </si>
  <si>
    <t>LT growth (inflation % yoy)</t>
  </si>
  <si>
    <t>(CAPEX)</t>
  </si>
  <si>
    <t>Discount Rate (cost of equity) Calculation</t>
  </si>
  <si>
    <t>Risk-free rate (DK10-Year Govt Bond Yield)</t>
  </si>
  <si>
    <t>Beta (vs. OMXC25)</t>
  </si>
  <si>
    <t>Market return (Rm)</t>
  </si>
  <si>
    <t>Total Debt</t>
  </si>
  <si>
    <t>Market Value of Debt</t>
  </si>
  <si>
    <t>Cost of debt</t>
  </si>
  <si>
    <t>WACC</t>
  </si>
  <si>
    <t>In DKK mil</t>
  </si>
  <si>
    <t>Equity Value (DKK mil)</t>
  </si>
  <si>
    <t>3.4 billion</t>
  </si>
  <si>
    <t>Upside:</t>
  </si>
  <si>
    <t>Target Price:</t>
  </si>
  <si>
    <t>current outstanding shares: 4465 million as of June 2024</t>
  </si>
  <si>
    <t xml:space="preserve">5 years: </t>
  </si>
  <si>
    <t>tv</t>
  </si>
  <si>
    <t>pv</t>
  </si>
  <si>
    <t>equity value</t>
  </si>
  <si>
    <t>WACC = % of equity x cost of equity + % of debt x cost of debt x (1 - Tax Rate)</t>
  </si>
  <si>
    <t>Cost of equity = Risk free rate + Beta x Market Risk Premium</t>
  </si>
  <si>
    <t>% of Equity</t>
  </si>
  <si>
    <t>Risk Free Rate</t>
  </si>
  <si>
    <t>Market Risk Premium</t>
  </si>
  <si>
    <t>Debt</t>
  </si>
  <si>
    <t>% of Debt</t>
  </si>
  <si>
    <t>Cost of Debt</t>
  </si>
  <si>
    <t>Tax Rate</t>
  </si>
  <si>
    <t>Market Cap (DKK)</t>
  </si>
  <si>
    <t>EV= market cap + debt - cash</t>
  </si>
  <si>
    <t>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</si>
</sst>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0.000%"/>
    <numFmt numFmtId="165" formatCode="0.0%"/>
    <numFmt numFmtId="166" formatCode="#,##0.00_);[Red]\(#,##0.00\);\ \-\ "/>
    <numFmt numFmtId="167" formatCode="#,##0.0_);[Red]\(#,##0.0\)"/>
    <numFmt numFmtId="168" formatCode="#,##0.0_);[Red]\(#,##0.0\);\ \-\ "/>
    <numFmt numFmtId="169" formatCode="#,##0_);[Red]\(#,##0\);\ \-\ "/>
    <numFmt numFmtId="170" formatCode="_(* #,##0_);_(* \(#,##0\);_(* &quot;-&quot;??_);_(@_)"/>
  </numFmts>
  <fonts count="3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2A3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8"/>
      <name val="Arial"/>
      <family val="2"/>
    </font>
    <font>
      <b/>
      <i/>
      <sz val="11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8"/>
      <name val="Arial"/>
      <family val="2"/>
    </font>
    <font>
      <i/>
      <sz val="10"/>
      <color theme="8"/>
      <name val="Arial"/>
      <family val="2"/>
    </font>
    <font>
      <b/>
      <u val="singleAccounting"/>
      <sz val="10"/>
      <color theme="1"/>
      <name val="Arial"/>
      <family val="2"/>
    </font>
    <font>
      <i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8" tint="-0.499984740745262"/>
      <name val="Arial Black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u/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rgb="FFFF0000"/>
      <name val="Arial"/>
      <family val="2"/>
    </font>
    <font>
      <sz val="10"/>
      <color rgb="FF000000"/>
      <name val="Arial Bold"/>
    </font>
    <font>
      <b/>
      <sz val="10"/>
      <color rgb="FF000000"/>
      <name val="Arial Bold"/>
    </font>
    <font>
      <b/>
      <sz val="14"/>
      <color rgb="FF232A31"/>
      <name val="Helvetica Neue"/>
      <family val="2"/>
    </font>
    <font>
      <b/>
      <sz val="14"/>
      <color rgb="FF444444"/>
      <name val="Arial"/>
      <family val="2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0" fillId="0" borderId="0"/>
  </cellStyleXfs>
  <cellXfs count="169">
    <xf numFmtId="0" fontId="0" fillId="0" borderId="0" xfId="0"/>
    <xf numFmtId="9" fontId="0" fillId="0" borderId="0" xfId="0" applyNumberFormat="1"/>
    <xf numFmtId="0" fontId="2" fillId="0" borderId="0" xfId="0" applyFont="1"/>
    <xf numFmtId="44" fontId="0" fillId="0" borderId="0" xfId="2" applyFont="1"/>
    <xf numFmtId="3" fontId="0" fillId="0" borderId="0" xfId="0" applyNumberFormat="1"/>
    <xf numFmtId="9" fontId="0" fillId="0" borderId="0" xfId="3" applyFont="1"/>
    <xf numFmtId="10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0" borderId="0" xfId="3" applyNumberFormat="1" applyFont="1"/>
    <xf numFmtId="41" fontId="0" fillId="0" borderId="0" xfId="1" applyNumberFormat="1" applyFont="1"/>
    <xf numFmtId="9" fontId="0" fillId="0" borderId="0" xfId="1" applyNumberFormat="1" applyFont="1"/>
    <xf numFmtId="41" fontId="0" fillId="0" borderId="0" xfId="0" applyNumberFormat="1"/>
    <xf numFmtId="0" fontId="3" fillId="0" borderId="0" xfId="4"/>
    <xf numFmtId="166" fontId="3" fillId="0" borderId="0" xfId="4" applyNumberFormat="1"/>
    <xf numFmtId="165" fontId="0" fillId="0" borderId="0" xfId="5" applyNumberFormat="1" applyFont="1"/>
    <xf numFmtId="0" fontId="5" fillId="0" borderId="0" xfId="4" applyFont="1"/>
    <xf numFmtId="0" fontId="6" fillId="0" borderId="0" xfId="4" applyFont="1"/>
    <xf numFmtId="166" fontId="3" fillId="4" borderId="0" xfId="4" applyNumberFormat="1" applyFill="1"/>
    <xf numFmtId="0" fontId="7" fillId="0" borderId="0" xfId="4" applyFont="1"/>
    <xf numFmtId="2" fontId="0" fillId="0" borderId="0" xfId="5" applyNumberFormat="1" applyFont="1"/>
    <xf numFmtId="10" fontId="3" fillId="0" borderId="0" xfId="4" applyNumberFormat="1"/>
    <xf numFmtId="0" fontId="8" fillId="0" borderId="0" xfId="4" applyFont="1"/>
    <xf numFmtId="0" fontId="9" fillId="0" borderId="0" xfId="4" applyFont="1"/>
    <xf numFmtId="0" fontId="3" fillId="5" borderId="0" xfId="4" applyFill="1"/>
    <xf numFmtId="0" fontId="8" fillId="5" borderId="0" xfId="4" applyFont="1" applyFill="1"/>
    <xf numFmtId="0" fontId="10" fillId="5" borderId="0" xfId="4" applyFont="1" applyFill="1"/>
    <xf numFmtId="166" fontId="10" fillId="5" borderId="0" xfId="4" applyNumberFormat="1" applyFont="1" applyFill="1"/>
    <xf numFmtId="0" fontId="11" fillId="5" borderId="0" xfId="4" applyFont="1" applyFill="1"/>
    <xf numFmtId="167" fontId="3" fillId="0" borderId="0" xfId="4" applyNumberFormat="1"/>
    <xf numFmtId="0" fontId="4" fillId="0" borderId="0" xfId="4" applyFont="1"/>
    <xf numFmtId="40" fontId="3" fillId="0" borderId="0" xfId="4" applyNumberFormat="1"/>
    <xf numFmtId="0" fontId="6" fillId="6" borderId="0" xfId="4" applyFont="1" applyFill="1"/>
    <xf numFmtId="0" fontId="6" fillId="7" borderId="0" xfId="4" applyFont="1" applyFill="1"/>
    <xf numFmtId="0" fontId="14" fillId="7" borderId="0" xfId="4" applyFont="1" applyFill="1" applyAlignment="1">
      <alignment horizontal="centerContinuous" vertical="center"/>
    </xf>
    <xf numFmtId="0" fontId="15" fillId="0" borderId="0" xfId="4" applyFont="1" applyAlignment="1">
      <alignment horizontal="center"/>
    </xf>
    <xf numFmtId="0" fontId="16" fillId="0" borderId="0" xfId="4" applyFont="1" applyAlignment="1">
      <alignment horizontal="center" vertical="center" wrapText="1"/>
    </xf>
    <xf numFmtId="0" fontId="17" fillId="0" borderId="0" xfId="4" applyFont="1" applyAlignment="1">
      <alignment horizontal="center" vertical="center" wrapText="1"/>
    </xf>
    <xf numFmtId="0" fontId="18" fillId="0" borderId="0" xfId="4" applyFont="1"/>
    <xf numFmtId="0" fontId="10" fillId="0" borderId="0" xfId="4" applyFont="1"/>
    <xf numFmtId="166" fontId="6" fillId="0" borderId="0" xfId="4" applyNumberFormat="1" applyFont="1"/>
    <xf numFmtId="167" fontId="6" fillId="0" borderId="0" xfId="4" applyNumberFormat="1" applyFont="1"/>
    <xf numFmtId="165" fontId="4" fillId="0" borderId="0" xfId="4" applyNumberFormat="1" applyFont="1"/>
    <xf numFmtId="166" fontId="10" fillId="0" borderId="0" xfId="4" applyNumberFormat="1" applyFont="1"/>
    <xf numFmtId="168" fontId="3" fillId="0" borderId="0" xfId="4" applyNumberFormat="1"/>
    <xf numFmtId="169" fontId="3" fillId="7" borderId="0" xfId="4" applyNumberFormat="1" applyFill="1"/>
    <xf numFmtId="169" fontId="6" fillId="7" borderId="3" xfId="4" applyNumberFormat="1" applyFont="1" applyFill="1" applyBorder="1"/>
    <xf numFmtId="169" fontId="0" fillId="0" borderId="0" xfId="0" applyNumberFormat="1"/>
    <xf numFmtId="169" fontId="3" fillId="0" borderId="0" xfId="4" applyNumberFormat="1"/>
    <xf numFmtId="169" fontId="6" fillId="7" borderId="1" xfId="4" applyNumberFormat="1" applyFont="1" applyFill="1" applyBorder="1"/>
    <xf numFmtId="169" fontId="10" fillId="5" borderId="0" xfId="4" applyNumberFormat="1" applyFont="1" applyFill="1"/>
    <xf numFmtId="169" fontId="6" fillId="7" borderId="0" xfId="4" applyNumberFormat="1" applyFont="1" applyFill="1"/>
    <xf numFmtId="169" fontId="3" fillId="0" borderId="3" xfId="4" applyNumberFormat="1" applyBorder="1"/>
    <xf numFmtId="169" fontId="6" fillId="0" borderId="2" xfId="4" applyNumberFormat="1" applyFont="1" applyBorder="1"/>
    <xf numFmtId="169" fontId="6" fillId="0" borderId="0" xfId="4" applyNumberFormat="1" applyFont="1"/>
    <xf numFmtId="169" fontId="6" fillId="0" borderId="1" xfId="4" applyNumberFormat="1" applyFont="1" applyBorder="1"/>
    <xf numFmtId="0" fontId="14" fillId="0" borderId="0" xfId="4" applyFont="1" applyAlignment="1">
      <alignment horizontal="centerContinuous" vertical="center"/>
    </xf>
    <xf numFmtId="0" fontId="12" fillId="0" borderId="0" xfId="4" applyFont="1"/>
    <xf numFmtId="0" fontId="13" fillId="0" borderId="0" xfId="4" applyFont="1"/>
    <xf numFmtId="169" fontId="3" fillId="6" borderId="0" xfId="4" applyNumberFormat="1" applyFill="1"/>
    <xf numFmtId="2" fontId="3" fillId="0" borderId="0" xfId="4" applyNumberFormat="1"/>
    <xf numFmtId="169" fontId="3" fillId="6" borderId="3" xfId="4" applyNumberFormat="1" applyFill="1" applyBorder="1"/>
    <xf numFmtId="169" fontId="3" fillId="6" borderId="2" xfId="4" applyNumberFormat="1" applyFill="1" applyBorder="1"/>
    <xf numFmtId="169" fontId="3" fillId="6" borderId="1" xfId="4" applyNumberFormat="1" applyFill="1" applyBorder="1"/>
    <xf numFmtId="169" fontId="3" fillId="5" borderId="0" xfId="4" applyNumberFormat="1" applyFill="1"/>
    <xf numFmtId="169" fontId="19" fillId="0" borderId="0" xfId="0" applyNumberFormat="1" applyFont="1"/>
    <xf numFmtId="3" fontId="0" fillId="0" borderId="0" xfId="5" applyNumberFormat="1" applyFont="1"/>
    <xf numFmtId="3" fontId="0" fillId="0" borderId="0" xfId="3" applyNumberFormat="1" applyFont="1"/>
    <xf numFmtId="169" fontId="6" fillId="6" borderId="3" xfId="4" applyNumberFormat="1" applyFont="1" applyFill="1" applyBorder="1"/>
    <xf numFmtId="169" fontId="3" fillId="4" borderId="0" xfId="4" applyNumberFormat="1" applyFill="1"/>
    <xf numFmtId="37" fontId="3" fillId="0" borderId="0" xfId="4" applyNumberFormat="1"/>
    <xf numFmtId="169" fontId="3" fillId="9" borderId="0" xfId="4" applyNumberFormat="1" applyFill="1"/>
    <xf numFmtId="0" fontId="3" fillId="9" borderId="0" xfId="4" applyFill="1"/>
    <xf numFmtId="9" fontId="3" fillId="0" borderId="0" xfId="3" applyFont="1"/>
    <xf numFmtId="10" fontId="3" fillId="0" borderId="0" xfId="3" applyNumberFormat="1" applyFont="1"/>
    <xf numFmtId="10" fontId="4" fillId="7" borderId="0" xfId="3" applyNumberFormat="1" applyFont="1" applyFill="1"/>
    <xf numFmtId="10" fontId="4" fillId="6" borderId="0" xfId="3" applyNumberFormat="1" applyFont="1" applyFill="1"/>
    <xf numFmtId="169" fontId="3" fillId="6" borderId="4" xfId="4" applyNumberFormat="1" applyFill="1" applyBorder="1"/>
    <xf numFmtId="166" fontId="3" fillId="8" borderId="0" xfId="4" applyNumberFormat="1" applyFill="1"/>
    <xf numFmtId="169" fontId="6" fillId="6" borderId="1" xfId="4" applyNumberFormat="1" applyFont="1" applyFill="1" applyBorder="1"/>
    <xf numFmtId="166" fontId="3" fillId="9" borderId="0" xfId="4" applyNumberFormat="1" applyFill="1"/>
    <xf numFmtId="169" fontId="6" fillId="6" borderId="0" xfId="4" applyNumberFormat="1" applyFont="1" applyFill="1"/>
    <xf numFmtId="166" fontId="3" fillId="3" borderId="0" xfId="4" applyNumberFormat="1" applyFill="1"/>
    <xf numFmtId="166" fontId="6" fillId="3" borderId="0" xfId="4" applyNumberFormat="1" applyFont="1" applyFill="1"/>
    <xf numFmtId="38" fontId="3" fillId="0" borderId="0" xfId="4" applyNumberFormat="1"/>
    <xf numFmtId="0" fontId="9" fillId="0" borderId="4" xfId="4" applyFont="1" applyBorder="1"/>
    <xf numFmtId="0" fontId="16" fillId="0" borderId="4" xfId="4" applyFont="1" applyBorder="1"/>
    <xf numFmtId="0" fontId="3" fillId="0" borderId="4" xfId="4" applyBorder="1"/>
    <xf numFmtId="0" fontId="5" fillId="10" borderId="0" xfId="4" applyFont="1" applyFill="1"/>
    <xf numFmtId="0" fontId="20" fillId="3" borderId="0" xfId="6" applyFill="1"/>
    <xf numFmtId="0" fontId="21" fillId="11" borderId="0" xfId="4" applyFont="1" applyFill="1"/>
    <xf numFmtId="2" fontId="6" fillId="0" borderId="0" xfId="4" applyNumberFormat="1" applyFont="1"/>
    <xf numFmtId="0" fontId="6" fillId="0" borderId="5" xfId="4" applyFont="1" applyBorder="1"/>
    <xf numFmtId="0" fontId="6" fillId="10" borderId="0" xfId="4" applyFont="1" applyFill="1"/>
    <xf numFmtId="165" fontId="6" fillId="10" borderId="0" xfId="5" applyNumberFormat="1" applyFont="1" applyFill="1"/>
    <xf numFmtId="0" fontId="6" fillId="0" borderId="6" xfId="4" applyFont="1" applyBorder="1" applyAlignment="1">
      <alignment horizontal="center"/>
    </xf>
    <xf numFmtId="166" fontId="3" fillId="0" borderId="6" xfId="4" applyNumberFormat="1" applyBorder="1" applyAlignment="1">
      <alignment horizontal="center"/>
    </xf>
    <xf numFmtId="10" fontId="3" fillId="4" borderId="6" xfId="4" applyNumberFormat="1" applyFill="1" applyBorder="1" applyAlignment="1">
      <alignment horizontal="center"/>
    </xf>
    <xf numFmtId="0" fontId="6" fillId="0" borderId="7" xfId="4" applyFont="1" applyBorder="1" applyAlignment="1">
      <alignment horizontal="center"/>
    </xf>
    <xf numFmtId="166" fontId="3" fillId="0" borderId="7" xfId="4" applyNumberFormat="1" applyBorder="1" applyAlignment="1">
      <alignment horizontal="center"/>
    </xf>
    <xf numFmtId="10" fontId="3" fillId="4" borderId="7" xfId="4" applyNumberFormat="1" applyFill="1" applyBorder="1" applyAlignment="1">
      <alignment horizontal="center"/>
    </xf>
    <xf numFmtId="0" fontId="6" fillId="0" borderId="0" xfId="4" applyFont="1" applyAlignment="1">
      <alignment horizontal="center"/>
    </xf>
    <xf numFmtId="10" fontId="0" fillId="0" borderId="0" xfId="5" applyNumberFormat="1" applyFont="1"/>
    <xf numFmtId="0" fontId="3" fillId="10" borderId="0" xfId="4" applyFill="1"/>
    <xf numFmtId="0" fontId="3" fillId="0" borderId="0" xfId="4" applyAlignment="1">
      <alignment horizontal="left"/>
    </xf>
    <xf numFmtId="0" fontId="3" fillId="0" borderId="0" xfId="4" applyAlignment="1">
      <alignment horizontal="left" wrapText="1"/>
    </xf>
    <xf numFmtId="0" fontId="6" fillId="10" borderId="0" xfId="4" applyFont="1" applyFill="1" applyAlignment="1">
      <alignment horizontal="left"/>
    </xf>
    <xf numFmtId="2" fontId="6" fillId="10" borderId="0" xfId="4" applyNumberFormat="1" applyFont="1" applyFill="1"/>
    <xf numFmtId="9" fontId="3" fillId="0" borderId="0" xfId="3" applyFont="1" applyFill="1"/>
    <xf numFmtId="49" fontId="22" fillId="0" borderId="4" xfId="0" applyNumberFormat="1" applyFont="1" applyBorder="1" applyAlignment="1">
      <alignment horizontal="left" vertical="center"/>
    </xf>
    <xf numFmtId="0" fontId="23" fillId="12" borderId="8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23" fillId="13" borderId="9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  <xf numFmtId="38" fontId="23" fillId="12" borderId="10" xfId="0" applyNumberFormat="1" applyFont="1" applyFill="1" applyBorder="1" applyAlignment="1">
      <alignment vertical="center"/>
    </xf>
    <xf numFmtId="38" fontId="23" fillId="12" borderId="11" xfId="0" applyNumberFormat="1" applyFont="1" applyFill="1" applyBorder="1" applyAlignment="1">
      <alignment vertical="center"/>
    </xf>
    <xf numFmtId="38" fontId="23" fillId="13" borderId="11" xfId="0" applyNumberFormat="1" applyFont="1" applyFill="1" applyBorder="1" applyAlignment="1">
      <alignment vertical="center"/>
    </xf>
    <xf numFmtId="10" fontId="23" fillId="12" borderId="10" xfId="0" applyNumberFormat="1" applyFont="1" applyFill="1" applyBorder="1" applyAlignment="1">
      <alignment horizontal="center" vertical="center"/>
    </xf>
    <xf numFmtId="10" fontId="23" fillId="12" borderId="10" xfId="0" applyNumberFormat="1" applyFont="1" applyFill="1" applyBorder="1" applyAlignment="1">
      <alignment vertical="center"/>
    </xf>
    <xf numFmtId="10" fontId="23" fillId="12" borderId="11" xfId="0" applyNumberFormat="1" applyFont="1" applyFill="1" applyBorder="1" applyAlignment="1">
      <alignment vertical="center"/>
    </xf>
    <xf numFmtId="10" fontId="23" fillId="13" borderId="11" xfId="0" applyNumberFormat="1" applyFont="1" applyFill="1" applyBorder="1" applyAlignment="1">
      <alignment vertical="center"/>
    </xf>
    <xf numFmtId="2" fontId="23" fillId="12" borderId="10" xfId="0" applyNumberFormat="1" applyFont="1" applyFill="1" applyBorder="1" applyAlignment="1">
      <alignment vertical="center"/>
    </xf>
    <xf numFmtId="40" fontId="23" fillId="13" borderId="10" xfId="0" applyNumberFormat="1" applyFont="1" applyFill="1" applyBorder="1" applyAlignment="1">
      <alignment vertical="center"/>
    </xf>
    <xf numFmtId="40" fontId="23" fillId="13" borderId="11" xfId="0" applyNumberFormat="1" applyFont="1" applyFill="1" applyBorder="1" applyAlignment="1">
      <alignment vertical="center"/>
    </xf>
    <xf numFmtId="2" fontId="23" fillId="12" borderId="11" xfId="0" applyNumberFormat="1" applyFont="1" applyFill="1" applyBorder="1" applyAlignment="1">
      <alignment vertical="center"/>
    </xf>
    <xf numFmtId="2" fontId="23" fillId="13" borderId="11" xfId="0" applyNumberFormat="1" applyFont="1" applyFill="1" applyBorder="1" applyAlignment="1">
      <alignment vertical="center"/>
    </xf>
    <xf numFmtId="1" fontId="23" fillId="12" borderId="10" xfId="0" applyNumberFormat="1" applyFont="1" applyFill="1" applyBorder="1" applyAlignment="1">
      <alignment vertical="center"/>
    </xf>
    <xf numFmtId="1" fontId="23" fillId="13" borderId="10" xfId="0" applyNumberFormat="1" applyFont="1" applyFill="1" applyBorder="1" applyAlignment="1">
      <alignment vertical="center"/>
    </xf>
    <xf numFmtId="1" fontId="23" fillId="13" borderId="11" xfId="0" applyNumberFormat="1" applyFont="1" applyFill="1" applyBorder="1" applyAlignment="1">
      <alignment vertical="center"/>
    </xf>
    <xf numFmtId="49" fontId="22" fillId="0" borderId="2" xfId="0" applyNumberFormat="1" applyFont="1" applyBorder="1" applyAlignment="1">
      <alignment horizontal="left" vertical="center"/>
    </xf>
    <xf numFmtId="0" fontId="23" fillId="12" borderId="12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4" fillId="0" borderId="0" xfId="0" applyFont="1"/>
    <xf numFmtId="2" fontId="23" fillId="13" borderId="10" xfId="0" applyNumberFormat="1" applyFont="1" applyFill="1" applyBorder="1" applyAlignment="1">
      <alignment vertical="center"/>
    </xf>
    <xf numFmtId="10" fontId="25" fillId="12" borderId="10" xfId="0" applyNumberFormat="1" applyFont="1" applyFill="1" applyBorder="1" applyAlignment="1">
      <alignment vertical="center"/>
    </xf>
    <xf numFmtId="10" fontId="24" fillId="0" borderId="0" xfId="0" applyNumberFormat="1" applyFont="1" applyAlignment="1">
      <alignment horizontal="left" vertical="center"/>
    </xf>
    <xf numFmtId="10" fontId="23" fillId="13" borderId="10" xfId="0" applyNumberFormat="1" applyFont="1" applyFill="1" applyBorder="1" applyAlignment="1">
      <alignment vertical="center"/>
    </xf>
    <xf numFmtId="38" fontId="26" fillId="0" borderId="0" xfId="0" applyNumberFormat="1" applyFont="1"/>
    <xf numFmtId="38" fontId="27" fillId="0" borderId="0" xfId="0" applyNumberFormat="1" applyFont="1"/>
    <xf numFmtId="40" fontId="26" fillId="0" borderId="0" xfId="0" applyNumberFormat="1" applyFont="1"/>
    <xf numFmtId="43" fontId="6" fillId="0" borderId="0" xfId="1" applyFont="1"/>
    <xf numFmtId="170" fontId="6" fillId="0" borderId="0" xfId="1" applyNumberFormat="1" applyFont="1"/>
    <xf numFmtId="43" fontId="3" fillId="0" borderId="0" xfId="1" applyFont="1"/>
    <xf numFmtId="170" fontId="3" fillId="0" borderId="0" xfId="1" applyNumberFormat="1" applyFont="1"/>
    <xf numFmtId="38" fontId="3" fillId="0" borderId="0" xfId="1" applyNumberFormat="1" applyFont="1"/>
    <xf numFmtId="169" fontId="6" fillId="0" borderId="0" xfId="1" applyNumberFormat="1" applyFont="1"/>
    <xf numFmtId="169" fontId="3" fillId="0" borderId="0" xfId="1" applyNumberFormat="1" applyFont="1"/>
    <xf numFmtId="170" fontId="6" fillId="0" borderId="5" xfId="1" applyNumberFormat="1" applyFont="1" applyBorder="1"/>
    <xf numFmtId="164" fontId="3" fillId="0" borderId="0" xfId="4" applyNumberFormat="1"/>
    <xf numFmtId="0" fontId="3" fillId="0" borderId="0" xfId="0" applyFont="1"/>
    <xf numFmtId="38" fontId="3" fillId="0" borderId="0" xfId="0" applyNumberFormat="1" applyFont="1"/>
    <xf numFmtId="0" fontId="6" fillId="0" borderId="0" xfId="0" applyFont="1"/>
    <xf numFmtId="10" fontId="5" fillId="0" borderId="0" xfId="3" applyNumberFormat="1" applyFont="1"/>
    <xf numFmtId="10" fontId="3" fillId="0" borderId="0" xfId="0" applyNumberFormat="1" applyFont="1"/>
    <xf numFmtId="164" fontId="6" fillId="0" borderId="0" xfId="4" applyNumberFormat="1" applyFont="1"/>
    <xf numFmtId="43" fontId="3" fillId="0" borderId="0" xfId="4" applyNumberFormat="1"/>
    <xf numFmtId="0" fontId="28" fillId="0" borderId="0" xfId="0" applyFont="1"/>
    <xf numFmtId="43" fontId="6" fillId="0" borderId="0" xfId="4" applyNumberFormat="1" applyFont="1"/>
    <xf numFmtId="0" fontId="29" fillId="0" borderId="0" xfId="0" applyFont="1"/>
    <xf numFmtId="43" fontId="3" fillId="0" borderId="5" xfId="1" applyFont="1" applyFill="1" applyBorder="1"/>
    <xf numFmtId="0" fontId="30" fillId="11" borderId="0" xfId="0" applyFont="1" applyFill="1"/>
    <xf numFmtId="0" fontId="0" fillId="11" borderId="0" xfId="0" applyFill="1"/>
    <xf numFmtId="10" fontId="0" fillId="0" borderId="0" xfId="0" applyNumberFormat="1" applyAlignment="1">
      <alignment horizontal="right"/>
    </xf>
    <xf numFmtId="10" fontId="0" fillId="14" borderId="13" xfId="0" applyNumberFormat="1" applyFill="1" applyBorder="1" applyAlignment="1">
      <alignment horizontal="right"/>
    </xf>
    <xf numFmtId="0" fontId="0" fillId="14" borderId="13" xfId="0" applyFill="1" applyBorder="1" applyAlignment="1">
      <alignment horizontal="right"/>
    </xf>
    <xf numFmtId="1" fontId="0" fillId="14" borderId="13" xfId="0" applyNumberFormat="1" applyFill="1" applyBorder="1" applyAlignment="1">
      <alignment horizontal="right"/>
    </xf>
    <xf numFmtId="0" fontId="17" fillId="0" borderId="0" xfId="4" applyFont="1" applyAlignment="1">
      <alignment horizontal="center" vertical="center" wrapText="1"/>
    </xf>
    <xf numFmtId="0" fontId="14" fillId="6" borderId="0" xfId="4" applyFont="1" applyFill="1" applyAlignment="1">
      <alignment horizontal="center" vertical="top"/>
    </xf>
    <xf numFmtId="0" fontId="0" fillId="2" borderId="0" xfId="0" applyFill="1" applyAlignment="1">
      <alignment horizontal="center"/>
    </xf>
  </cellXfs>
  <cellStyles count="7">
    <cellStyle name="Comma" xfId="1" builtinId="3"/>
    <cellStyle name="Currency" xfId="2" builtinId="4"/>
    <cellStyle name="Normal" xfId="0" builtinId="0"/>
    <cellStyle name="Normal 2" xfId="4" xr:uid="{02CAC1DB-928D-8F4B-A21A-8890A91F964C}"/>
    <cellStyle name="Normal 4" xfId="6" xr:uid="{F5A46A98-0A7D-CE47-AC53-CAD7A31B66DE}"/>
    <cellStyle name="Per cent" xfId="3" builtinId="5"/>
    <cellStyle name="Per cent 2" xfId="5" xr:uid="{79CC232A-CAF7-E64B-A3D3-05E48E3EF6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by Region (DKK million)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36B-1C43-B103-51B0D8A24140}"/>
              </c:ext>
            </c:extLst>
          </c:dPt>
          <c:dPt>
            <c:idx val="1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B-1C43-B103-51B0D8A24140}"/>
              </c:ext>
            </c:extLst>
          </c:dPt>
          <c:dPt>
            <c:idx val="2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36B-1C43-B103-51B0D8A24140}"/>
              </c:ext>
            </c:extLst>
          </c:dPt>
          <c:dPt>
            <c:idx val="3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B-1C43-B103-51B0D8A24140}"/>
              </c:ext>
            </c:extLst>
          </c:dPt>
          <c:dLbls>
            <c:dLbl>
              <c:idx val="0"/>
              <c:layout>
                <c:manualLayout>
                  <c:x val="9.9803149606299216E-3"/>
                  <c:y val="3.290536599591717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22%</a:t>
                    </a:r>
                  </a:p>
                  <a:p>
                    <a:fld id="{EED1243A-0F6D-0146-B96C-8969903E1AC7}" type="VALUE">
                      <a:rPr lang="en-US"/>
                      <a:pPr/>
                      <a:t>[VALUE]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36B-1C43-B103-51B0D8A24140}"/>
                </c:ext>
              </c:extLst>
            </c:dLbl>
            <c:dLbl>
              <c:idx val="1"/>
              <c:layout>
                <c:manualLayout>
                  <c:x val="2.3302712160979927E-2"/>
                  <c:y val="-3.586687080781568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59%</a:t>
                    </a:r>
                  </a:p>
                  <a:p>
                    <a:fld id="{62A66EFB-8234-0147-8CFD-E2F2F2753738}" type="VALUE">
                      <a:rPr lang="en-US"/>
                      <a:pPr/>
                      <a:t>[VALUE]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36B-1C43-B103-51B0D8A24140}"/>
                </c:ext>
              </c:extLst>
            </c:dLbl>
            <c:dLbl>
              <c:idx val="2"/>
              <c:layout>
                <c:manualLayout>
                  <c:x val="-8.1677602799650039E-3"/>
                  <c:y val="1.908245844269466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7%</a:t>
                    </a:r>
                  </a:p>
                  <a:p>
                    <a:fld id="{D389B954-6E9B-8549-9F80-C4A07D8A18F3}" type="VALUE">
                      <a:rPr lang="en-US"/>
                      <a:pPr/>
                      <a:t>[VALUE]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36B-1C43-B103-51B0D8A24140}"/>
                </c:ext>
              </c:extLst>
            </c:dLbl>
            <c:dLbl>
              <c:idx val="3"/>
              <c:layout>
                <c:manualLayout>
                  <c:x val="-7.2245188101487312E-3"/>
                  <c:y val="7.540099154272382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12%</a:t>
                    </a:r>
                  </a:p>
                  <a:p>
                    <a:fld id="{2F9AAC22-D9AB-0F46-8777-395539D71B3F}" type="VALUE">
                      <a:rPr lang="en-US"/>
                      <a:pPr/>
                      <a:t>[VALUE]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36B-1C43-B103-51B0D8A241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CCA!$G$4:$J$4</c:f>
              <c:strCache>
                <c:ptCount val="4"/>
                <c:pt idx="0">
                  <c:v>EMEA</c:v>
                </c:pt>
                <c:pt idx="1">
                  <c:v>North America Operations</c:v>
                </c:pt>
                <c:pt idx="2">
                  <c:v>China</c:v>
                </c:pt>
                <c:pt idx="3">
                  <c:v>Rest of the world</c:v>
                </c:pt>
              </c:strCache>
            </c:strRef>
          </c:cat>
          <c:val>
            <c:numRef>
              <c:f>CCA!$G$5:$J$5</c:f>
              <c:numCache>
                <c:formatCode>#,##0</c:formatCode>
                <c:ptCount val="4"/>
                <c:pt idx="0">
                  <c:v>50867</c:v>
                </c:pt>
                <c:pt idx="1">
                  <c:v>136629</c:v>
                </c:pt>
                <c:pt idx="2">
                  <c:v>16687</c:v>
                </c:pt>
                <c:pt idx="3">
                  <c:v>28078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B-1C43-B103-51B0D8A24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CCA!$I$27</c:f>
              <c:strCache>
                <c:ptCount val="1"/>
                <c:pt idx="0">
                  <c:v>P/E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8A-074B-9BD8-776E84E451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CCA!$J$26:$M$26</c:f>
              <c:strCache>
                <c:ptCount val="4"/>
                <c:pt idx="0">
                  <c:v>AstraZeneca</c:v>
                </c:pt>
                <c:pt idx="1">
                  <c:v>Sanofi</c:v>
                </c:pt>
                <c:pt idx="2">
                  <c:v>Novo Nordisk</c:v>
                </c:pt>
                <c:pt idx="3">
                  <c:v>Eli Lilly</c:v>
                </c:pt>
              </c:strCache>
            </c:strRef>
          </c:cat>
          <c:val>
            <c:numRef>
              <c:f>CCA!$J$27:$M$27</c:f>
              <c:numCache>
                <c:formatCode>General</c:formatCode>
                <c:ptCount val="4"/>
                <c:pt idx="0">
                  <c:v>39.19</c:v>
                </c:pt>
                <c:pt idx="1">
                  <c:v>21.46</c:v>
                </c:pt>
                <c:pt idx="2">
                  <c:v>46.37</c:v>
                </c:pt>
                <c:pt idx="3">
                  <c:v>85.2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A-074B-9BD8-776E84E45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723440"/>
        <c:axId val="96933248"/>
      </c:barChart>
      <c:catAx>
        <c:axId val="213872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3248"/>
        <c:crosses val="autoZero"/>
        <c:auto val="1"/>
        <c:lblAlgn val="ctr"/>
        <c:lblOffset val="100"/>
        <c:noMultiLvlLbl val="0"/>
      </c:catAx>
      <c:valAx>
        <c:axId val="969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2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growth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CCA!$B$50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2.37923137088376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B9-8247-A48E-B621CA0032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CCA!$C$49:$G$49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CCA!$C$50:$G$50</c:f>
              <c:numCache>
                <c:formatCode>#,##0</c:formatCode>
                <c:ptCount val="5"/>
                <c:pt idx="0">
                  <c:v>122021</c:v>
                </c:pt>
                <c:pt idx="1">
                  <c:v>126946</c:v>
                </c:pt>
                <c:pt idx="2">
                  <c:v>140800</c:v>
                </c:pt>
                <c:pt idx="3">
                  <c:v>176954</c:v>
                </c:pt>
                <c:pt idx="4">
                  <c:v>232261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9-8247-A48E-B621CA003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334176"/>
        <c:axId val="2138418032"/>
      </c:barChart>
      <c:lineChart>
        <c:grouping val="standard"/>
        <c:varyColors val="0"/>
        <c:ser>
          <c:idx val="1"/>
          <c:order val="1"/>
          <c:tx>
            <c:strRef>
              <c:f>CCA!$B$51</c:f>
              <c:strCache>
                <c:ptCount val="1"/>
                <c:pt idx="0">
                  <c:v>% change 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7.0823241176371744E-3"/>
                  <c:y val="3.9653856181396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B9-8247-A48E-B621CA0032A3}"/>
                </c:ext>
              </c:extLst>
            </c:dLbl>
            <c:dLbl>
              <c:idx val="1"/>
              <c:layout>
                <c:manualLayout>
                  <c:x val="1.4164648235274392E-2"/>
                  <c:y val="3.96538561813960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B9-8247-A48E-B621CA0032A3}"/>
                </c:ext>
              </c:extLst>
            </c:dLbl>
            <c:dLbl>
              <c:idx val="3"/>
              <c:layout>
                <c:manualLayout>
                  <c:x val="2.3607747058789859E-3"/>
                  <c:y val="1.98269280906980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B9-8247-A48E-B621CA0032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CCA!$C$49:$G$49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CCA!$C$51:$G$51</c:f>
              <c:numCache>
                <c:formatCode>0%</c:formatCode>
                <c:ptCount val="5"/>
                <c:pt idx="0">
                  <c:v>9.0999999999999998E-2</c:v>
                </c:pt>
                <c:pt idx="1">
                  <c:v>4.0361904918005918E-2</c:v>
                </c:pt>
                <c:pt idx="2">
                  <c:v>0.10913301718841081</c:v>
                </c:pt>
                <c:pt idx="3">
                  <c:v>0.25677556818181818</c:v>
                </c:pt>
                <c:pt idx="4">
                  <c:v>0.31255015427738281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9-8247-A48E-B621CA0032A3}"/>
            </c:ext>
          </c:extLst>
        </c:ser>
        <c:ser>
          <c:idx val="2"/>
          <c:order val="2"/>
          <c:tx>
            <c:strRef>
              <c:f>CCA!$B$52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CCA!$C$49:$G$49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CCA!$C$52:$G$52</c:f>
              <c:numCache>
                <c:formatCode>0.0%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B9-8247-A48E-B621CA003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08687"/>
        <c:axId val="92878543"/>
      </c:lineChart>
      <c:catAx>
        <c:axId val="45533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418032"/>
        <c:crosses val="autoZero"/>
        <c:auto val="1"/>
        <c:lblAlgn val="ctr"/>
        <c:lblOffset val="100"/>
        <c:noMultiLvlLbl val="0"/>
      </c:catAx>
      <c:valAx>
        <c:axId val="213841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334176"/>
        <c:crosses val="autoZero"/>
        <c:crossBetween val="between"/>
      </c:valAx>
      <c:valAx>
        <c:axId val="92878543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8687"/>
        <c:crosses val="max"/>
        <c:crossBetween val="between"/>
      </c:valAx>
      <c:catAx>
        <c:axId val="93208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878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CCA!$B$27</c:f>
              <c:strCache>
                <c:ptCount val="1"/>
                <c:pt idx="0">
                  <c:v>earnings per share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CCA!$C$26:$G$26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CCA!$C$27:$G$27</c:f>
              <c:numCache>
                <c:formatCode>General</c:formatCode>
                <c:ptCount val="5"/>
                <c:pt idx="0">
                  <c:v>8.19</c:v>
                </c:pt>
                <c:pt idx="1">
                  <c:v>9.01</c:v>
                </c:pt>
                <c:pt idx="2">
                  <c:v>10.37</c:v>
                </c:pt>
                <c:pt idx="3">
                  <c:v>12.22</c:v>
                </c:pt>
                <c:pt idx="4">
                  <c:v>18.62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2-4949-BA3A-248FB1593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39423"/>
        <c:axId val="844566783"/>
      </c:barChart>
      <c:lineChart>
        <c:grouping val="standard"/>
        <c:varyColors val="0"/>
        <c:ser>
          <c:idx val="1"/>
          <c:order val="1"/>
          <c:tx>
            <c:strRef>
              <c:f>CCA!$B$28</c:f>
              <c:strCache>
                <c:ptCount val="1"/>
                <c:pt idx="0">
                  <c:v>% change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CCA!$C$26:$G$26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CCA!$C$28:$G$28</c:f>
              <c:numCache>
                <c:formatCode>0%</c:formatCode>
                <c:ptCount val="5"/>
                <c:pt idx="1">
                  <c:v>0.10012210012210017</c:v>
                </c:pt>
                <c:pt idx="2">
                  <c:v>0.15094339622641503</c:v>
                </c:pt>
                <c:pt idx="3">
                  <c:v>0.17839922854387671</c:v>
                </c:pt>
                <c:pt idx="4">
                  <c:v>0.52373158756137483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2-4949-BA3A-248FB1593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747119"/>
        <c:axId val="380966640"/>
      </c:lineChart>
      <c:catAx>
        <c:axId val="5723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566783"/>
        <c:crosses val="autoZero"/>
        <c:auto val="1"/>
        <c:lblAlgn val="ctr"/>
        <c:lblOffset val="100"/>
        <c:noMultiLvlLbl val="0"/>
      </c:catAx>
      <c:valAx>
        <c:axId val="84456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9423"/>
        <c:crosses val="autoZero"/>
        <c:crossBetween val="between"/>
      </c:valAx>
      <c:valAx>
        <c:axId val="38096664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47119"/>
        <c:crosses val="max"/>
        <c:crossBetween val="between"/>
      </c:valAx>
      <c:catAx>
        <c:axId val="3827471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0966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</a:t>
            </a:r>
            <a:r>
              <a:rPr lang="en-GB" baseline="0"/>
              <a:t> Sales by Segments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A3-3345-AA43-7AC46DCF19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CCA!$B$4:$B$5</c:f>
              <c:strCache>
                <c:ptCount val="2"/>
                <c:pt idx="0">
                  <c:v>Diabetes and Obesity Care</c:v>
                </c:pt>
                <c:pt idx="1">
                  <c:v>Rare Disease</c:v>
                </c:pt>
              </c:strCache>
            </c:strRef>
          </c:cat>
          <c:val>
            <c:numRef>
              <c:f>CCA!$C$4:$C$5</c:f>
              <c:numCache>
                <c:formatCode>0%</c:formatCode>
                <c:ptCount val="2"/>
                <c:pt idx="0">
                  <c:v>0.93</c:v>
                </c:pt>
                <c:pt idx="1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3-3345-AA43-7AC46DCF1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2110016"/>
        <c:axId val="2049194703"/>
      </c:barChart>
      <c:catAx>
        <c:axId val="49211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194703"/>
        <c:crosses val="autoZero"/>
        <c:auto val="1"/>
        <c:lblAlgn val="ctr"/>
        <c:lblOffset val="100"/>
        <c:noMultiLvlLbl val="0"/>
      </c:catAx>
      <c:valAx>
        <c:axId val="204919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1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1452592</xdr:colOff>
      <xdr:row>2</xdr:row>
      <xdr:rowOff>63500</xdr:rowOff>
    </xdr:from>
    <xdr:to>
      <xdr:col>4</xdr:col>
      <xdr:colOff>215899</xdr:colOff>
      <xdr:row>6</xdr:row>
      <xdr:rowOff>50800</xdr:rowOff>
    </xdr:to>
    <xdr:pic>
      <xdr:nvPicPr>
        <xdr:cNvPr id="4" name="Picture 3" descr="Novo Nordisk - Wikipedia">
          <a:extLst>
            <a:ext uri="{FF2B5EF4-FFF2-40B4-BE49-F238E27FC236}">
              <a16:creationId xmlns:a16="http://schemas.microsoft.com/office/drawing/2014/main" id="{83046CEC-58DB-75E3-9E69-73BF5F06C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192" y="698500"/>
          <a:ext cx="1544607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711200</xdr:colOff>
      <xdr:row>7</xdr:row>
      <xdr:rowOff>127000</xdr:rowOff>
    </xdr:from>
    <xdr:to>
      <xdr:col>10</xdr:col>
      <xdr:colOff>304800</xdr:colOff>
      <xdr:row>21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C819A8-1F90-FBE7-0CB0-056284EC2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13677</xdr:colOff>
      <xdr:row>28</xdr:row>
      <xdr:rowOff>101600</xdr:rowOff>
    </xdr:from>
    <xdr:to>
      <xdr:col>13</xdr:col>
      <xdr:colOff>280377</xdr:colOff>
      <xdr:row>43</xdr:row>
      <xdr:rowOff>25400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13F308E-3CB7-CEB7-D4C9-58BDEF93A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112888</xdr:colOff>
      <xdr:row>55</xdr:row>
      <xdr:rowOff>135970</xdr:rowOff>
    </xdr:from>
    <xdr:to>
      <xdr:col>5</xdr:col>
      <xdr:colOff>705555</xdr:colOff>
      <xdr:row>71</xdr:row>
      <xdr:rowOff>17146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524EFDA-ABE2-9CC5-E69B-D348D2B21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76933</xdr:colOff>
      <xdr:row>31</xdr:row>
      <xdr:rowOff>14409</xdr:rowOff>
    </xdr:from>
    <xdr:to>
      <xdr:col>4</xdr:col>
      <xdr:colOff>692395</xdr:colOff>
      <xdr:row>44</xdr:row>
      <xdr:rowOff>58859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18B52A6-D6FF-5592-85D9-78CAA9052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390770</xdr:colOff>
      <xdr:row>60</xdr:row>
      <xdr:rowOff>36635</xdr:rowOff>
    </xdr:from>
    <xdr:to>
      <xdr:col>10</xdr:col>
      <xdr:colOff>525097</xdr:colOff>
      <xdr:row>69</xdr:row>
      <xdr:rowOff>158750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8F82177-6DD6-1025-4FEE-77D2141C55C0}"/>
            </a:ext>
          </a:extLst>
        </xdr:cNvPr>
        <xdr:cNvSpPr/>
      </xdr:nvSpPr>
      <xdr:spPr>
        <a:xfrm>
          <a:off x="10831635" y="12492404"/>
          <a:ext cx="2063750" cy="1990481"/>
        </a:xfrm>
        <a:prstGeom prst="ellipse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      2023:</a:t>
          </a:r>
          <a:r>
            <a:rPr lang="en-GB" sz="1100" baseline="0"/>
            <a:t> DKK 232b</a:t>
          </a:r>
          <a:endParaRPr lang="en-GB" sz="1100"/>
        </a:p>
      </xdr:txBody>
    </xdr:sp>
    <xdr:clientData/>
  </xdr:twoCellAnchor>
  <xdr:twoCellAnchor>
    <xdr:from>
      <xdr:col>9</xdr:col>
      <xdr:colOff>586155</xdr:colOff>
      <xdr:row>62</xdr:row>
      <xdr:rowOff>170961</xdr:rowOff>
    </xdr:from>
    <xdr:to>
      <xdr:col>10</xdr:col>
      <xdr:colOff>329712</xdr:colOff>
      <xdr:row>69</xdr:row>
      <xdr:rowOff>183173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03135AF-8E9F-68F2-645F-AF015570F9B1}"/>
            </a:ext>
          </a:extLst>
        </xdr:cNvPr>
        <xdr:cNvSpPr/>
      </xdr:nvSpPr>
      <xdr:spPr>
        <a:xfrm>
          <a:off x="11027020" y="13041923"/>
          <a:ext cx="1672980" cy="14653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  <a:p>
          <a:pPr algn="l"/>
          <a:endParaRPr lang="en-GB" sz="1100"/>
        </a:p>
        <a:p>
          <a:pPr algn="l"/>
          <a:r>
            <a:rPr lang="en-GB" sz="1100"/>
            <a:t>2</a:t>
          </a:r>
          <a:r>
            <a:rPr lang="en-GB" sz="1200"/>
            <a:t>022:</a:t>
          </a:r>
          <a:r>
            <a:rPr lang="en-GB" sz="1200" baseline="0"/>
            <a:t> DKK 177</a:t>
          </a:r>
          <a:r>
            <a:rPr lang="en-GB" sz="1200"/>
            <a:t>b</a:t>
          </a:r>
        </a:p>
      </xdr:txBody>
    </xdr:sp>
    <xdr:clientData/>
  </xdr:twoCellAnchor>
  <xdr:twoCellAnchor>
    <xdr:from>
      <xdr:col>9</xdr:col>
      <xdr:colOff>1001347</xdr:colOff>
      <xdr:row>62</xdr:row>
      <xdr:rowOff>207595</xdr:rowOff>
    </xdr:from>
    <xdr:to>
      <xdr:col>9</xdr:col>
      <xdr:colOff>1905001</xdr:colOff>
      <xdr:row>64</xdr:row>
      <xdr:rowOff>109903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4397667-2A8D-0467-791B-728A18377778}"/>
            </a:ext>
          </a:extLst>
        </xdr:cNvPr>
        <xdr:cNvSpPr/>
      </xdr:nvSpPr>
      <xdr:spPr>
        <a:xfrm>
          <a:off x="11442212" y="13078557"/>
          <a:ext cx="903654" cy="3175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chemeClr val="tx1"/>
              </a:solidFill>
            </a:rPr>
            <a:t>36%</a:t>
          </a:r>
          <a:r>
            <a:rPr lang="en-GB" sz="1200" b="1" baseline="0">
              <a:solidFill>
                <a:schemeClr val="tx1"/>
              </a:solidFill>
            </a:rPr>
            <a:t> at CER</a:t>
          </a:r>
          <a:endParaRPr lang="en-GB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15874</xdr:colOff>
      <xdr:row>8</xdr:row>
      <xdr:rowOff>63257</xdr:rowOff>
    </xdr:from>
    <xdr:to>
      <xdr:col>4</xdr:col>
      <xdr:colOff>647211</xdr:colOff>
      <xdr:row>15</xdr:row>
      <xdr:rowOff>134328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D35604-8C0B-0493-1DB7-8F92E85CF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eyasarah/Downloads/WidgePro%20-%20Excel.xlsx" TargetMode="External"/><Relationship Id="rId1" Type="http://schemas.openxmlformats.org/officeDocument/2006/relationships/externalLinkPath" Target="WidgePro%20-%20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hazanahcommy-my.sharepoint.com/personal/safwan_rahman_khazanah_com_my/Documents/Investments/INV%20Test/PE/WidgePro%20Corp%20-%20Sample%20Answer%20+%20Eval%20Sheet%20-%20v6.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adjmi%20Nor%20Azamin/Downloads/WidgePro%20-%20Nadjmi%20Nor&#8217;%20Azam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Model"/>
      <sheetName val="Valuation"/>
      <sheetName val="Comp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tion"/>
      <sheetName val="FinModel"/>
      <sheetName val="Valuation"/>
      <sheetName val="Comps"/>
    </sheetNames>
    <sheetDataSet>
      <sheetData sheetId="0"/>
      <sheetData sheetId="1">
        <row r="100">
          <cell r="D100">
            <v>0.24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Model"/>
      <sheetName val="Valuation"/>
      <sheetName val="Comps"/>
    </sheetNames>
    <sheetDataSet>
      <sheetData sheetId="0" refreshError="1">
        <row r="5">
          <cell r="G5">
            <v>2017</v>
          </cell>
        </row>
        <row r="21">
          <cell r="H21">
            <v>6.509999999999998</v>
          </cell>
          <cell r="K21">
            <v>10.423915169389904</v>
          </cell>
        </row>
        <row r="29">
          <cell r="K29">
            <v>6.2350906422500598</v>
          </cell>
        </row>
        <row r="49">
          <cell r="H49">
            <v>6.899</v>
          </cell>
          <cell r="K49">
            <v>26.4495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INTI MOHD ZAKI, ALEYA (UG)" id="{E8D999F0-3152-7E4B-9338-B458BF01F793}" userId="S::u2230599@live.warwick.ac.uk::ffa8c9b7-cee9-4abf-aa0b-026de8cb1f2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6C8DB-09DE-C84C-8BB2-641371D45466}" name="Table1" displayName="Table1" ref="H76:J90" totalsRowShown="0">
  <autoFilter ref="H76:J90" xr:uid="{38B6C8DB-09DE-C84C-8BB2-641371D45466}"/>
  <tableColumns count="3">
    <tableColumn id="1" xr3:uid="{C9B44497-9EA1-9D46-8327-C7EEEED0A60D}" name="Column1"/>
    <tableColumn id="2" xr3:uid="{A210F0BD-A2A4-0442-A913-746FBECB60D6}" name="Column2"/>
    <tableColumn id="3" xr3:uid="{6192DEAD-44D8-9844-96D8-32EC3429A1B2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38" dT="2024-08-12T10:30:25.05" personId="{E8D999F0-3152-7E4B-9338-B458BF01F793}" id="{5CAB5E78-D977-A848-BB30-127768F69AA5}">
    <text>not usual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6520-47FB-8544-9B8E-17E9F8592EF5}">
  <dimension ref="A1:AF553"/>
  <sheetViews>
    <sheetView showGridLines="0" tabSelected="1" zoomScale="125" zoomScaleNormal="90" workbookViewId="0">
      <pane xSplit="5" ySplit="7" topLeftCell="F145" activePane="bottomRight" state="frozen"/>
      <selection pane="topRight" activeCell="F1" sqref="F1"/>
      <selection pane="bottomLeft" activeCell="A7" sqref="A7"/>
      <selection pane="bottomRight" activeCell="A56" sqref="A56:XFD56"/>
    </sheetView>
  </sheetViews>
  <sheetFormatPr baseColWidth="10" defaultColWidth="8.83203125" defaultRowHeight="13" outlineLevelRow="1"/>
  <cols>
    <col min="1" max="2" width="2.33203125" style="13" customWidth="1"/>
    <col min="3" max="3" width="24.6640625" style="13" customWidth="1"/>
    <col min="4" max="4" width="11.83203125" style="13" customWidth="1"/>
    <col min="5" max="5" width="15.83203125" style="13" customWidth="1"/>
    <col min="6" max="6" width="1.83203125" style="13" customWidth="1"/>
    <col min="7" max="16" width="13" style="13" customWidth="1"/>
    <col min="17" max="18" width="1.33203125" style="13" customWidth="1"/>
    <col min="19" max="32" width="9.33203125" style="13" customWidth="1"/>
    <col min="33" max="16384" width="8.83203125" style="13"/>
  </cols>
  <sheetData>
    <row r="1" spans="1:32" ht="25.5" customHeight="1">
      <c r="A1" s="38" t="s">
        <v>22</v>
      </c>
      <c r="G1" s="166"/>
      <c r="H1" s="166"/>
      <c r="I1" s="166"/>
      <c r="J1" s="166"/>
      <c r="K1" s="166"/>
      <c r="L1" s="166"/>
      <c r="M1" s="166"/>
      <c r="N1" s="166"/>
      <c r="O1" s="166"/>
      <c r="P1" s="166"/>
      <c r="S1" s="22"/>
    </row>
    <row r="2" spans="1:32" ht="25.5" customHeight="1">
      <c r="A2" s="30" t="s">
        <v>125</v>
      </c>
      <c r="D2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35"/>
      <c r="S2" s="22"/>
    </row>
    <row r="3" spans="1:32" ht="25.5" customHeight="1">
      <c r="D3"/>
      <c r="G3" s="37"/>
      <c r="H3" s="37"/>
      <c r="I3" s="37"/>
      <c r="J3" s="37"/>
      <c r="K3" s="37"/>
      <c r="L3" s="37"/>
      <c r="M3" s="37"/>
      <c r="N3" s="37"/>
      <c r="O3" s="37"/>
      <c r="P3" s="37"/>
      <c r="Q3" s="35"/>
      <c r="S3" s="22"/>
    </row>
    <row r="4" spans="1:32" ht="29" customHeight="1">
      <c r="A4" s="30"/>
      <c r="B4"/>
      <c r="D4"/>
      <c r="G4" s="36"/>
      <c r="H4" s="36"/>
      <c r="I4" s="36"/>
      <c r="J4" s="36"/>
      <c r="K4" s="36"/>
      <c r="L4" s="36"/>
      <c r="M4" s="36"/>
      <c r="N4" s="36"/>
      <c r="O4" s="36"/>
      <c r="P4" s="36"/>
      <c r="Q4" s="35"/>
      <c r="S4" s="22"/>
    </row>
    <row r="5" spans="1:32" ht="16">
      <c r="G5" s="34" t="s">
        <v>124</v>
      </c>
      <c r="H5" s="34"/>
      <c r="I5" s="34"/>
      <c r="J5" s="167" t="s">
        <v>123</v>
      </c>
      <c r="K5" s="167"/>
      <c r="L5" s="167"/>
      <c r="M5" s="56"/>
      <c r="N5" s="56"/>
      <c r="O5" s="56"/>
      <c r="P5" s="56"/>
      <c r="S5" s="22"/>
    </row>
    <row r="6" spans="1:32">
      <c r="G6" s="33" t="s">
        <v>191</v>
      </c>
      <c r="H6" s="33" t="s">
        <v>192</v>
      </c>
      <c r="I6" s="33" t="s">
        <v>193</v>
      </c>
      <c r="J6" s="32" t="s">
        <v>194</v>
      </c>
      <c r="K6" s="32" t="s">
        <v>202</v>
      </c>
      <c r="L6" s="17" t="s">
        <v>161</v>
      </c>
      <c r="N6" s="17"/>
      <c r="O6" s="17"/>
      <c r="P6" s="17"/>
      <c r="S6" s="57" t="s">
        <v>122</v>
      </c>
    </row>
    <row r="7" spans="1:32" ht="5.75" customHeight="1">
      <c r="S7" s="22"/>
    </row>
    <row r="8" spans="1:32" ht="14">
      <c r="B8" s="28" t="s">
        <v>121</v>
      </c>
      <c r="C8" s="26"/>
      <c r="D8" s="26"/>
      <c r="E8" s="26"/>
      <c r="F8" s="26"/>
      <c r="G8" s="26"/>
      <c r="H8" s="26"/>
      <c r="I8" s="26"/>
      <c r="J8" s="26"/>
      <c r="K8" s="26"/>
      <c r="L8" s="17" t="s">
        <v>160</v>
      </c>
      <c r="N8" s="39"/>
      <c r="O8" s="39"/>
      <c r="P8" s="39"/>
      <c r="Q8" s="39"/>
      <c r="S8" s="22"/>
      <c r="AA8" s="24"/>
      <c r="AB8" s="24"/>
      <c r="AC8" s="24"/>
      <c r="AD8" s="24"/>
      <c r="AE8" s="24"/>
      <c r="AF8" s="24"/>
    </row>
    <row r="9" spans="1:32" outlineLevel="1">
      <c r="C9" s="13" t="s">
        <v>120</v>
      </c>
      <c r="G9" s="45">
        <v>140800</v>
      </c>
      <c r="H9" s="45">
        <v>176954</v>
      </c>
      <c r="I9" s="45">
        <v>232261</v>
      </c>
      <c r="J9" s="59">
        <f>J132</f>
        <v>287792.06023201166</v>
      </c>
      <c r="K9" s="59">
        <f>K132</f>
        <v>356574.36262746243</v>
      </c>
      <c r="L9" s="14"/>
      <c r="N9" s="14"/>
      <c r="O9" s="14"/>
      <c r="P9" s="14"/>
      <c r="Q9" s="29"/>
      <c r="S9" s="22"/>
    </row>
    <row r="10" spans="1:32" outlineLevel="1">
      <c r="C10" s="13" t="s">
        <v>119</v>
      </c>
      <c r="G10" s="45">
        <f>G157+G158</f>
        <v>-19978</v>
      </c>
      <c r="H10" s="45">
        <f>H157+H158</f>
        <v>-24373</v>
      </c>
      <c r="I10" s="45">
        <f>I157+I158</f>
        <v>-30815</v>
      </c>
      <c r="J10" s="59">
        <f>-J9*J151</f>
        <v>-38910.97996175813</v>
      </c>
      <c r="K10" s="59">
        <f>-K9*K151</f>
        <v>-47759.428716404727</v>
      </c>
      <c r="L10" s="14" t="s">
        <v>175</v>
      </c>
      <c r="N10" s="14"/>
      <c r="O10" s="14"/>
      <c r="P10" s="14"/>
      <c r="Q10" s="14"/>
      <c r="S10" s="22"/>
      <c r="U10" s="31"/>
      <c r="V10" s="31"/>
    </row>
    <row r="11" spans="1:32" outlineLevel="1">
      <c r="A11" s="17"/>
      <c r="B11" s="17" t="s">
        <v>118</v>
      </c>
      <c r="C11" s="17"/>
      <c r="D11" s="17"/>
      <c r="E11" s="17"/>
      <c r="F11" s="17"/>
      <c r="G11" s="46">
        <f>G9+G10</f>
        <v>120822</v>
      </c>
      <c r="H11" s="46">
        <f t="shared" ref="H11" si="0">H9+H10</f>
        <v>152581</v>
      </c>
      <c r="I11" s="46">
        <f>I9+I10</f>
        <v>201446</v>
      </c>
      <c r="J11" s="68">
        <f>J9+J10</f>
        <v>248881.08027025353</v>
      </c>
      <c r="K11" s="68">
        <f t="shared" ref="K11" si="1">K9+K10</f>
        <v>308814.93391105771</v>
      </c>
      <c r="L11" s="40"/>
      <c r="N11" s="40"/>
      <c r="O11" s="40"/>
      <c r="P11" s="40"/>
      <c r="Q11" s="41"/>
      <c r="R11" s="17"/>
      <c r="S11" s="5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outlineLevel="1">
      <c r="A12" s="30"/>
      <c r="B12" s="30"/>
      <c r="C12" s="30" t="s">
        <v>111</v>
      </c>
      <c r="D12" s="30"/>
      <c r="E12" s="30"/>
      <c r="F12" s="30"/>
      <c r="G12" s="75">
        <f>G11/G9</f>
        <v>0.85811079545454549</v>
      </c>
      <c r="H12" s="75">
        <f t="shared" ref="H12" si="2">H11/H9</f>
        <v>0.86226363913785509</v>
      </c>
      <c r="I12" s="75">
        <f>I11/I9</f>
        <v>0.8673259824077223</v>
      </c>
      <c r="J12" s="76">
        <f>J11/J9</f>
        <v>0.86479481077278875</v>
      </c>
      <c r="K12" s="76">
        <f t="shared" ref="K12" si="3">K11/K9</f>
        <v>0.86606039659025558</v>
      </c>
      <c r="L12" s="42"/>
      <c r="N12" s="42"/>
      <c r="O12" s="42"/>
      <c r="P12" s="42"/>
      <c r="Q12" s="30"/>
      <c r="R12" s="30"/>
      <c r="S12" s="58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 spans="1:32" ht="16" outlineLevel="1">
      <c r="G13" s="47"/>
      <c r="H13" s="48"/>
      <c r="I13" s="48"/>
      <c r="J13" s="48"/>
      <c r="K13" s="48"/>
      <c r="L13" s="14"/>
      <c r="N13" s="14"/>
      <c r="O13" s="14"/>
      <c r="P13" s="14"/>
      <c r="Q13" s="29"/>
      <c r="S13" s="22"/>
    </row>
    <row r="14" spans="1:32" outlineLevel="1">
      <c r="C14" s="13" t="s">
        <v>117</v>
      </c>
      <c r="G14" s="45">
        <f>-4050+G159</f>
        <v>-3653</v>
      </c>
      <c r="H14" s="45">
        <f>-4467+H159</f>
        <v>-4040</v>
      </c>
      <c r="I14" s="45">
        <f>-4855+I159</f>
        <v>-4460</v>
      </c>
      <c r="J14" s="59">
        <f>-J9*J152</f>
        <v>-4892.4650239441989</v>
      </c>
      <c r="K14" s="59">
        <f>-K9*K152</f>
        <v>-6061.7641646668617</v>
      </c>
      <c r="L14" s="14" t="s">
        <v>176</v>
      </c>
      <c r="N14" s="14"/>
      <c r="O14" s="14"/>
      <c r="P14" s="14"/>
      <c r="Q14" s="29"/>
      <c r="S14" s="22"/>
      <c r="U14" s="31"/>
      <c r="V14" s="31"/>
    </row>
    <row r="15" spans="1:32" outlineLevel="1">
      <c r="C15" s="13" t="s">
        <v>127</v>
      </c>
      <c r="G15" s="45">
        <f>-37008+G160</f>
        <v>-36560</v>
      </c>
      <c r="H15" s="45">
        <f>-46217+H160</f>
        <v>-45759</v>
      </c>
      <c r="I15" s="45">
        <f>-56743+I160</f>
        <v>-56230</v>
      </c>
      <c r="J15" s="59">
        <f>-J9*J153</f>
        <v>-60436.332648722448</v>
      </c>
      <c r="K15" s="59">
        <f>-K9*K153</f>
        <v>-74880.616151767113</v>
      </c>
      <c r="L15" s="14" t="s">
        <v>177</v>
      </c>
      <c r="N15" s="14"/>
      <c r="O15" s="14"/>
      <c r="P15" s="14"/>
      <c r="Q15" s="29"/>
      <c r="S15" s="22"/>
      <c r="U15" s="31"/>
      <c r="V15" s="31"/>
    </row>
    <row r="16" spans="1:32" ht="16" outlineLevel="1">
      <c r="C16" s="13" t="s">
        <v>126</v>
      </c>
      <c r="G16" s="45">
        <f>-17772+G161</f>
        <v>-16292</v>
      </c>
      <c r="H16" s="45">
        <f>-24047+H161</f>
        <v>-21761</v>
      </c>
      <c r="I16" s="45">
        <f>-32443+I161</f>
        <v>-29373</v>
      </c>
      <c r="J16" s="59">
        <f>-J9*J154</f>
        <v>-48924.650239441988</v>
      </c>
      <c r="K16" s="59">
        <f>-K9*K154</f>
        <v>-60617.641646668613</v>
      </c>
      <c r="L16" s="14" t="s">
        <v>177</v>
      </c>
      <c r="N16" s="14"/>
      <c r="O16"/>
      <c r="P16" s="14"/>
      <c r="Q16" s="29"/>
      <c r="S16" s="22"/>
      <c r="U16" s="31"/>
      <c r="V16" s="31"/>
    </row>
    <row r="17" spans="1:32" outlineLevel="1">
      <c r="C17" s="13" t="s">
        <v>128</v>
      </c>
      <c r="G17" s="45">
        <f>332-G162</f>
        <v>352</v>
      </c>
      <c r="H17" s="45">
        <f>1034-H162</f>
        <v>1150</v>
      </c>
      <c r="I17" s="45">
        <f>119-I162</f>
        <v>604</v>
      </c>
      <c r="J17" s="71">
        <v>-163</v>
      </c>
      <c r="K17" s="59">
        <v>-163</v>
      </c>
      <c r="L17" s="14" t="s">
        <v>177</v>
      </c>
      <c r="M17" s="72" t="s">
        <v>189</v>
      </c>
      <c r="N17" s="14"/>
      <c r="O17" s="14"/>
      <c r="P17" s="14"/>
      <c r="Q17" s="29"/>
      <c r="S17" s="22"/>
      <c r="U17" s="31"/>
      <c r="V17" s="31"/>
    </row>
    <row r="18" spans="1:32" outlineLevel="1">
      <c r="C18" s="13" t="s">
        <v>172</v>
      </c>
      <c r="G18" s="45">
        <v>-4386</v>
      </c>
      <c r="H18" s="45">
        <v>-5003</v>
      </c>
      <c r="I18" s="45">
        <v>-6165</v>
      </c>
      <c r="J18" s="59">
        <f>J165</f>
        <v>-8315.5561352453515</v>
      </c>
      <c r="K18" s="59">
        <f>K165</f>
        <v>-10746.174252306209</v>
      </c>
      <c r="L18" s="14"/>
      <c r="N18" s="14"/>
      <c r="O18" s="14"/>
      <c r="P18" s="14"/>
      <c r="Q18" s="29"/>
      <c r="S18" s="22"/>
      <c r="U18" s="31"/>
      <c r="V18" s="31"/>
    </row>
    <row r="19" spans="1:32" outlineLevel="1">
      <c r="C19" s="13" t="s">
        <v>173</v>
      </c>
      <c r="G19" s="45">
        <v>-1639</v>
      </c>
      <c r="H19" s="45">
        <v>-2359</v>
      </c>
      <c r="I19" s="45">
        <v>-3248</v>
      </c>
      <c r="J19" s="69">
        <v>-5700</v>
      </c>
      <c r="K19" s="59">
        <f>K166</f>
        <v>-4069.634456492096</v>
      </c>
      <c r="L19" s="18" t="s">
        <v>178</v>
      </c>
      <c r="N19" s="14"/>
      <c r="O19" s="14"/>
      <c r="P19" s="14"/>
      <c r="Q19" s="29"/>
      <c r="S19" s="22"/>
      <c r="U19" s="31"/>
      <c r="V19" s="31"/>
    </row>
    <row r="20" spans="1:32" outlineLevel="1">
      <c r="G20" s="45"/>
      <c r="H20" s="45"/>
      <c r="I20" s="45"/>
      <c r="J20" s="59"/>
      <c r="K20" s="59"/>
      <c r="L20" s="14"/>
      <c r="M20" s="14"/>
      <c r="N20" s="14"/>
      <c r="O20" s="14"/>
      <c r="P20" s="14"/>
      <c r="Q20" s="29"/>
      <c r="S20" s="22"/>
      <c r="U20" s="31"/>
      <c r="V20" s="31"/>
    </row>
    <row r="21" spans="1:32" hidden="1" outlineLevel="1">
      <c r="C21" s="13" t="s">
        <v>174</v>
      </c>
      <c r="G21" s="45">
        <f>SUM(G18:G19)</f>
        <v>-6025</v>
      </c>
      <c r="H21" s="45">
        <f t="shared" ref="H21:I21" si="4">SUM(H18:H19)</f>
        <v>-7362</v>
      </c>
      <c r="I21" s="45">
        <f t="shared" si="4"/>
        <v>-9413</v>
      </c>
      <c r="J21" s="59">
        <f>SUM(J18:J19)</f>
        <v>-14015.556135245351</v>
      </c>
      <c r="K21" s="59">
        <f>SUM(K18:K19)</f>
        <v>-14815.808708798306</v>
      </c>
      <c r="L21" s="14"/>
      <c r="M21" s="14"/>
      <c r="N21" s="14"/>
      <c r="O21" s="14"/>
      <c r="P21" s="14"/>
      <c r="Q21" s="29"/>
      <c r="S21" s="22"/>
      <c r="U21" s="31"/>
      <c r="V21" s="31"/>
    </row>
    <row r="22" spans="1:32" outlineLevel="1">
      <c r="A22" s="17"/>
      <c r="B22" s="17" t="s">
        <v>116</v>
      </c>
      <c r="C22" s="17"/>
      <c r="D22" s="17"/>
      <c r="E22" s="17"/>
      <c r="F22" s="17"/>
      <c r="G22" s="46">
        <f>G11+SUM(G14:G19)</f>
        <v>58644</v>
      </c>
      <c r="H22" s="46">
        <f>H11+SUM(H14:H19)</f>
        <v>74809</v>
      </c>
      <c r="I22" s="46">
        <f>I11+SUM(I14:I19)</f>
        <v>102574</v>
      </c>
      <c r="J22" s="68">
        <f>J11+SUM(J14:J19)</f>
        <v>120449.07622289954</v>
      </c>
      <c r="K22" s="68">
        <f>K11+SUM(K14:K19)</f>
        <v>152276.10323915683</v>
      </c>
      <c r="L22" s="40"/>
      <c r="M22" s="40"/>
      <c r="N22" s="40"/>
      <c r="O22" s="40"/>
      <c r="P22" s="40"/>
      <c r="Q22" s="40"/>
      <c r="R22" s="17"/>
      <c r="S22" s="5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 outlineLevel="1">
      <c r="G23" s="48"/>
      <c r="H23" s="48"/>
      <c r="I23" s="73"/>
      <c r="J23" s="108"/>
      <c r="K23" s="108"/>
      <c r="L23" s="14"/>
      <c r="M23" s="14"/>
      <c r="N23" s="14"/>
      <c r="O23" s="14"/>
      <c r="P23" s="14"/>
      <c r="Q23" s="29"/>
      <c r="S23" s="22"/>
    </row>
    <row r="24" spans="1:32" ht="16" outlineLevel="1">
      <c r="A24" s="17"/>
      <c r="B24" s="17" t="s">
        <v>115</v>
      </c>
      <c r="C24" s="17"/>
      <c r="D24" s="17"/>
      <c r="E24" s="17"/>
      <c r="F24" s="17"/>
      <c r="G24" s="46">
        <f>G22-G18-G19</f>
        <v>64669</v>
      </c>
      <c r="H24" s="46">
        <f t="shared" ref="H24" si="5">H22-H18-H19</f>
        <v>82171</v>
      </c>
      <c r="I24" s="46">
        <f>I22-I18-I19</f>
        <v>111987</v>
      </c>
      <c r="J24" s="68">
        <f>J22-J18-J19</f>
        <v>134464.63235814491</v>
      </c>
      <c r="K24" s="68">
        <f>K22-K18-K19</f>
        <v>167091.91194795512</v>
      </c>
      <c r="L24" s="40"/>
      <c r="M24" s="40"/>
      <c r="N24" s="40"/>
      <c r="O24" s="40"/>
      <c r="P24" s="40"/>
      <c r="Q24" s="41"/>
      <c r="R24" s="17"/>
      <c r="S24" s="57"/>
      <c r="T24" s="17"/>
      <c r="U24" s="17"/>
      <c r="V24" s="17"/>
      <c r="W24"/>
      <c r="X24" s="17"/>
      <c r="Y24" s="17"/>
      <c r="Z24" s="17"/>
      <c r="AA24" s="17"/>
      <c r="AB24" s="17"/>
      <c r="AC24" s="17"/>
      <c r="AD24" s="17"/>
      <c r="AE24" s="17"/>
      <c r="AF24" s="17"/>
    </row>
    <row r="25" spans="1:32" outlineLevel="1">
      <c r="A25" s="30"/>
      <c r="B25" s="30"/>
      <c r="C25" s="30" t="s">
        <v>111</v>
      </c>
      <c r="D25" s="30"/>
      <c r="E25" s="30"/>
      <c r="F25" s="30"/>
      <c r="G25" s="75">
        <f>G24/G9</f>
        <v>0.45929687499999999</v>
      </c>
      <c r="H25" s="75">
        <f t="shared" ref="H25:K25" si="6">H24/H9</f>
        <v>0.46436361992382202</v>
      </c>
      <c r="I25" s="75">
        <f>I24/I9</f>
        <v>0.48216015603136125</v>
      </c>
      <c r="J25" s="76">
        <f>J24/J9</f>
        <v>0.46722842961596117</v>
      </c>
      <c r="K25" s="76">
        <f t="shared" si="6"/>
        <v>0.4686032689414843</v>
      </c>
      <c r="L25" s="42" t="s">
        <v>184</v>
      </c>
      <c r="M25" s="42" t="s">
        <v>196</v>
      </c>
      <c r="N25" s="42"/>
      <c r="O25" s="42"/>
      <c r="P25" s="42"/>
      <c r="Q25" s="30"/>
      <c r="R25" s="30"/>
      <c r="S25" s="58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spans="1:32" outlineLevel="1">
      <c r="G26" s="48"/>
      <c r="H26" s="48"/>
      <c r="I26" s="48"/>
      <c r="J26" s="48"/>
      <c r="K26" s="48"/>
      <c r="L26" s="14"/>
      <c r="M26" s="14"/>
      <c r="N26" s="14"/>
      <c r="O26" s="14"/>
      <c r="P26" s="14"/>
      <c r="Q26" s="29"/>
      <c r="S26" s="22"/>
    </row>
    <row r="27" spans="1:32" outlineLevel="1">
      <c r="C27" s="13" t="s">
        <v>187</v>
      </c>
      <c r="G27" s="45">
        <v>2887</v>
      </c>
      <c r="H27" s="45">
        <v>239</v>
      </c>
      <c r="I27" s="45">
        <v>2945</v>
      </c>
      <c r="J27" s="59">
        <f>I27</f>
        <v>2945</v>
      </c>
      <c r="K27" s="59">
        <f>J27</f>
        <v>2945</v>
      </c>
      <c r="L27" s="14" t="s">
        <v>190</v>
      </c>
      <c r="M27" s="14"/>
      <c r="N27" s="14"/>
      <c r="O27" s="14"/>
      <c r="P27" s="14"/>
      <c r="Q27" s="29"/>
      <c r="S27" s="22"/>
      <c r="U27" s="31"/>
      <c r="V27" s="31"/>
    </row>
    <row r="28" spans="1:32" outlineLevel="1">
      <c r="C28" s="13" t="s">
        <v>188</v>
      </c>
      <c r="G28" s="45">
        <v>-2451</v>
      </c>
      <c r="H28" s="45">
        <v>-5986</v>
      </c>
      <c r="I28" s="45">
        <v>-845</v>
      </c>
      <c r="J28" s="77">
        <f>-J238</f>
        <v>-1521.5037068430925</v>
      </c>
      <c r="K28" s="77">
        <f>-K238</f>
        <v>-1347.7319676931186</v>
      </c>
      <c r="L28" s="14"/>
      <c r="M28" s="14"/>
      <c r="N28" s="14"/>
      <c r="O28" s="14"/>
      <c r="P28" s="14"/>
      <c r="Q28" s="14"/>
      <c r="S28" s="22"/>
      <c r="U28" s="31"/>
      <c r="V28" s="31"/>
    </row>
    <row r="29" spans="1:32" outlineLevel="1">
      <c r="A29" s="17"/>
      <c r="B29" s="17" t="s">
        <v>114</v>
      </c>
      <c r="C29" s="17"/>
      <c r="D29" s="17"/>
      <c r="E29" s="17"/>
      <c r="F29" s="17"/>
      <c r="G29" s="46">
        <f>G22+G27+G28</f>
        <v>59080</v>
      </c>
      <c r="H29" s="46">
        <f t="shared" ref="H29" si="7">H22+H27+H28</f>
        <v>69062</v>
      </c>
      <c r="I29" s="46">
        <f>I22+I27+I28</f>
        <v>104674</v>
      </c>
      <c r="J29" s="68">
        <f>J22+J27+J28</f>
        <v>121872.57251605645</v>
      </c>
      <c r="K29" s="68">
        <f>K22+K27+K28</f>
        <v>153873.37127146372</v>
      </c>
      <c r="L29" s="40"/>
      <c r="M29" s="40"/>
      <c r="N29" s="40"/>
      <c r="O29" s="40"/>
      <c r="P29" s="40"/>
      <c r="Q29" s="41"/>
      <c r="R29" s="17"/>
      <c r="S29" s="5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spans="1:32" outlineLevel="1">
      <c r="G30" s="48"/>
      <c r="H30" s="48"/>
      <c r="I30" s="48"/>
      <c r="J30" s="48"/>
      <c r="K30" s="48"/>
      <c r="L30" s="14"/>
      <c r="M30" s="14"/>
      <c r="N30" s="14"/>
      <c r="O30" s="14"/>
      <c r="P30" s="14"/>
      <c r="Q30" s="29"/>
      <c r="S30" s="22"/>
    </row>
    <row r="31" spans="1:32" outlineLevel="1">
      <c r="C31" s="13" t="s">
        <v>113</v>
      </c>
      <c r="G31" s="45">
        <v>-11323</v>
      </c>
      <c r="H31" s="45">
        <v>-13537</v>
      </c>
      <c r="I31" s="45">
        <v>-20991</v>
      </c>
      <c r="J31" s="59">
        <f>-J29*J228</f>
        <v>-23155.788778050726</v>
      </c>
      <c r="K31" s="59">
        <f>-K29*K228</f>
        <v>-29235.940541578108</v>
      </c>
      <c r="L31" s="14"/>
      <c r="M31" s="14"/>
      <c r="N31" s="14"/>
      <c r="O31" s="14"/>
      <c r="P31" s="14"/>
      <c r="Q31" s="29"/>
      <c r="S31" s="22"/>
      <c r="U31" s="31"/>
      <c r="V31" s="31"/>
    </row>
    <row r="32" spans="1:32" ht="14" outlineLevel="1" thickBot="1">
      <c r="A32" s="17"/>
      <c r="B32" s="17" t="s">
        <v>112</v>
      </c>
      <c r="C32" s="17"/>
      <c r="D32" s="17"/>
      <c r="E32" s="17"/>
      <c r="F32" s="17"/>
      <c r="G32" s="49">
        <f>G29+G31</f>
        <v>47757</v>
      </c>
      <c r="H32" s="49">
        <f t="shared" ref="H32" si="8">H29+H31</f>
        <v>55525</v>
      </c>
      <c r="I32" s="49">
        <f>I29+I31</f>
        <v>83683</v>
      </c>
      <c r="J32" s="79">
        <f>SUM(J29,J31)</f>
        <v>98716.783738005717</v>
      </c>
      <c r="K32" s="79">
        <f>SUM(K29,K31)</f>
        <v>124637.43072988561</v>
      </c>
      <c r="L32" s="40"/>
      <c r="M32" s="40"/>
      <c r="N32" s="40"/>
      <c r="O32" s="40"/>
      <c r="P32" s="40"/>
      <c r="Q32" s="41"/>
      <c r="R32" s="17"/>
      <c r="S32" s="5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spans="1:32" outlineLevel="1">
      <c r="A33" s="30"/>
      <c r="B33" s="30"/>
      <c r="C33" s="30" t="s">
        <v>111</v>
      </c>
      <c r="D33" s="30"/>
      <c r="E33" s="30"/>
      <c r="F33" s="30"/>
      <c r="G33" s="75">
        <f>G32/G9</f>
        <v>0.33918323863636363</v>
      </c>
      <c r="H33" s="75">
        <f t="shared" ref="H33:K33" si="9">H32/H9</f>
        <v>0.31378211286549046</v>
      </c>
      <c r="I33" s="75">
        <f t="shared" si="9"/>
        <v>0.3602972517986231</v>
      </c>
      <c r="J33" s="75">
        <f t="shared" si="9"/>
        <v>0.34301427099282172</v>
      </c>
      <c r="K33" s="75">
        <f t="shared" si="9"/>
        <v>0.34954120035854302</v>
      </c>
      <c r="L33" s="42"/>
      <c r="M33" s="42"/>
      <c r="N33" s="42"/>
      <c r="O33" s="42"/>
      <c r="P33" s="42"/>
      <c r="Q33" s="30"/>
      <c r="R33" s="30"/>
      <c r="S33" s="58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spans="1:32" outlineLevel="1">
      <c r="G34" s="48"/>
      <c r="H34" s="48"/>
      <c r="I34" s="48"/>
      <c r="J34" s="48"/>
      <c r="K34" s="48"/>
      <c r="L34" s="14"/>
      <c r="M34" s="14"/>
      <c r="N34" s="14"/>
      <c r="O34" s="14"/>
      <c r="P34" s="14"/>
      <c r="Q34" s="29"/>
      <c r="S34" s="22"/>
    </row>
    <row r="35" spans="1:32">
      <c r="G35" s="48"/>
      <c r="H35" s="48"/>
      <c r="I35" s="48"/>
      <c r="J35" s="48"/>
      <c r="K35" s="48"/>
      <c r="L35" s="14"/>
      <c r="M35" s="14"/>
      <c r="N35" s="14"/>
      <c r="O35" s="14"/>
      <c r="P35" s="14"/>
      <c r="S35" s="22"/>
    </row>
    <row r="36" spans="1:32" ht="14">
      <c r="B36" s="28" t="s">
        <v>110</v>
      </c>
      <c r="C36" s="26"/>
      <c r="D36" s="26"/>
      <c r="E36" s="26"/>
      <c r="F36" s="26"/>
      <c r="G36" s="50"/>
      <c r="H36" s="50"/>
      <c r="I36" s="50"/>
      <c r="J36" s="64"/>
      <c r="K36" s="64"/>
      <c r="L36" s="43"/>
      <c r="M36" s="43"/>
      <c r="N36" s="43"/>
      <c r="O36" s="43"/>
      <c r="P36" s="43"/>
      <c r="Q36" s="39"/>
      <c r="S36" s="22"/>
      <c r="AA36" s="24"/>
      <c r="AB36" s="24"/>
      <c r="AC36" s="24"/>
      <c r="AD36" s="24"/>
      <c r="AE36" s="24"/>
      <c r="AF36" s="24"/>
    </row>
    <row r="37" spans="1:32" outlineLevel="1">
      <c r="C37" s="13" t="s">
        <v>129</v>
      </c>
      <c r="G37" s="45">
        <v>10720</v>
      </c>
      <c r="H37" s="45">
        <v>12653</v>
      </c>
      <c r="I37" s="45">
        <v>14392</v>
      </c>
      <c r="J37" s="59">
        <f>J125+327</f>
        <v>15881.673651110032</v>
      </c>
      <c r="K37" s="59">
        <f>K125-6420</f>
        <v>16044.6832382555</v>
      </c>
      <c r="L37" s="14"/>
      <c r="M37" s="14"/>
      <c r="N37" s="14"/>
      <c r="O37" s="14"/>
      <c r="P37" s="14"/>
      <c r="Q37" s="29"/>
      <c r="S37" s="22"/>
      <c r="U37" s="31"/>
      <c r="V37" s="31"/>
    </row>
    <row r="38" spans="1:32" outlineLevel="1">
      <c r="C38" s="13" t="s">
        <v>109</v>
      </c>
      <c r="G38" s="45">
        <v>40643</v>
      </c>
      <c r="H38" s="45">
        <v>50560</v>
      </c>
      <c r="I38" s="45">
        <v>64770</v>
      </c>
      <c r="J38" s="59">
        <f>J9/J173</f>
        <v>81230.461842166347</v>
      </c>
      <c r="K38" s="59">
        <f>K9/K173</f>
        <v>100037.0932344488</v>
      </c>
      <c r="L38" s="14"/>
      <c r="M38" s="14"/>
      <c r="N38" s="14"/>
      <c r="O38" s="14"/>
      <c r="P38" s="14"/>
      <c r="Q38" s="29"/>
      <c r="S38" s="22"/>
      <c r="U38" s="31"/>
      <c r="V38" s="31"/>
    </row>
    <row r="39" spans="1:32" outlineLevel="1">
      <c r="C39" s="13" t="s">
        <v>131</v>
      </c>
      <c r="G39" s="45">
        <v>1119</v>
      </c>
      <c r="H39" s="45">
        <v>940</v>
      </c>
      <c r="I39" s="45">
        <v>2423</v>
      </c>
      <c r="J39" s="59">
        <f>J9/J174</f>
        <v>2025.9504447072973</v>
      </c>
      <c r="K39" s="59">
        <f>K9/K174</f>
        <v>2997.5611331191549</v>
      </c>
      <c r="L39" s="14"/>
      <c r="M39" s="14"/>
      <c r="N39" s="14"/>
      <c r="O39" s="14"/>
      <c r="P39" s="14"/>
      <c r="Q39" s="29"/>
      <c r="S39" s="22"/>
      <c r="U39" s="31"/>
      <c r="V39" s="31"/>
    </row>
    <row r="40" spans="1:32" outlineLevel="1">
      <c r="C40" s="13" t="s">
        <v>130</v>
      </c>
      <c r="G40" s="45">
        <v>5037</v>
      </c>
      <c r="H40" s="45">
        <v>6005</v>
      </c>
      <c r="I40" s="45">
        <v>8068</v>
      </c>
      <c r="J40" s="59">
        <f>J9/J175</f>
        <v>9880.3048683627221</v>
      </c>
      <c r="K40" s="59">
        <f>K9/K175</f>
        <v>12313.547829479325</v>
      </c>
      <c r="L40" s="14"/>
      <c r="M40" s="14"/>
      <c r="N40" s="14"/>
      <c r="O40" s="14"/>
      <c r="P40" s="14"/>
      <c r="Q40" s="29"/>
      <c r="S40" s="22"/>
      <c r="U40" s="31"/>
      <c r="V40" s="31"/>
    </row>
    <row r="41" spans="1:32" outlineLevel="1">
      <c r="C41" s="13" t="s">
        <v>93</v>
      </c>
      <c r="G41" s="45">
        <v>19621</v>
      </c>
      <c r="H41" s="45">
        <v>24388</v>
      </c>
      <c r="I41" s="45">
        <v>31811</v>
      </c>
      <c r="J41" s="59">
        <f>-J10/J176</f>
        <v>39542.17149514371</v>
      </c>
      <c r="K41" s="59">
        <f>-K10/K176</f>
        <v>48915.608172667591</v>
      </c>
      <c r="L41" s="14"/>
      <c r="M41" s="14"/>
      <c r="N41" s="14"/>
      <c r="O41" s="14"/>
      <c r="P41" s="14"/>
      <c r="Q41" s="29"/>
      <c r="S41" s="22"/>
      <c r="U41" s="31"/>
      <c r="V41" s="31"/>
    </row>
    <row r="42" spans="1:32" outlineLevel="1">
      <c r="C42" s="13" t="s">
        <v>132</v>
      </c>
      <c r="G42" s="45">
        <v>6765</v>
      </c>
      <c r="H42" s="45">
        <v>10921</v>
      </c>
      <c r="I42" s="45">
        <v>15838</v>
      </c>
      <c r="J42" s="59">
        <f>I42</f>
        <v>15838</v>
      </c>
      <c r="K42" s="59">
        <f>J42</f>
        <v>15838</v>
      </c>
      <c r="L42" s="80"/>
      <c r="M42" s="14"/>
      <c r="N42" s="14"/>
      <c r="O42" s="14"/>
      <c r="P42" s="14"/>
      <c r="Q42" s="29"/>
      <c r="S42" s="22"/>
      <c r="U42" s="31"/>
      <c r="V42" s="31"/>
    </row>
    <row r="43" spans="1:32" outlineLevel="1">
      <c r="C43" s="13" t="s">
        <v>133</v>
      </c>
      <c r="G43" s="45">
        <v>1690</v>
      </c>
      <c r="H43" s="45">
        <v>2727</v>
      </c>
      <c r="I43" s="45">
        <v>2344</v>
      </c>
      <c r="J43" s="59">
        <f>I43</f>
        <v>2344</v>
      </c>
      <c r="K43" s="59">
        <f>J43</f>
        <v>2344</v>
      </c>
      <c r="L43" s="14"/>
      <c r="M43" s="14"/>
      <c r="N43" s="14"/>
      <c r="O43" s="14"/>
      <c r="P43" s="14"/>
      <c r="Q43" s="29"/>
      <c r="S43" s="22"/>
      <c r="U43" s="31"/>
      <c r="V43" s="31"/>
    </row>
    <row r="44" spans="1:32" outlineLevel="1">
      <c r="A44" s="17"/>
      <c r="B44" s="17" t="s">
        <v>108</v>
      </c>
      <c r="C44" s="17"/>
      <c r="D44" s="17"/>
      <c r="E44" s="17"/>
      <c r="F44" s="17"/>
      <c r="G44" s="46">
        <f>SUM(G37:G43)</f>
        <v>85595</v>
      </c>
      <c r="H44" s="46">
        <f t="shared" ref="H44" si="10">SUM(H37:H43)</f>
        <v>108194</v>
      </c>
      <c r="I44" s="46">
        <f>SUM(I37:I43)</f>
        <v>139646</v>
      </c>
      <c r="J44" s="68">
        <f>SUM(J37:J43)</f>
        <v>166742.56230149011</v>
      </c>
      <c r="K44" s="68">
        <f>SUM(K37:K43)</f>
        <v>198490.49360797036</v>
      </c>
      <c r="L44" s="40"/>
      <c r="M44" s="40"/>
      <c r="N44" s="40"/>
      <c r="O44" s="40"/>
      <c r="P44" s="40"/>
      <c r="Q44" s="41"/>
      <c r="R44" s="17"/>
      <c r="S44" s="5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 outlineLevel="1">
      <c r="G45" s="48"/>
      <c r="H45" s="48"/>
      <c r="I45" s="48"/>
      <c r="J45" s="48"/>
      <c r="K45" s="48"/>
      <c r="L45" s="14"/>
      <c r="M45" s="14"/>
      <c r="N45" s="14"/>
      <c r="O45" s="14"/>
      <c r="P45" s="14"/>
      <c r="Q45" s="29"/>
      <c r="S45" s="22"/>
    </row>
    <row r="46" spans="1:32" outlineLevel="1">
      <c r="C46" s="13" t="s">
        <v>107</v>
      </c>
      <c r="G46" s="45">
        <v>55362</v>
      </c>
      <c r="H46" s="45">
        <v>66671</v>
      </c>
      <c r="I46" s="45">
        <v>90961</v>
      </c>
      <c r="J46" s="59">
        <f>J203</f>
        <v>116877.44386475465</v>
      </c>
      <c r="K46" s="59">
        <f>K203</f>
        <v>155253.26961244844</v>
      </c>
      <c r="L46" s="14" t="s">
        <v>283</v>
      </c>
      <c r="M46" s="14"/>
      <c r="N46" s="14"/>
      <c r="O46" s="14"/>
      <c r="P46" s="14"/>
      <c r="Q46" s="29"/>
      <c r="S46" s="22"/>
      <c r="U46" s="31"/>
      <c r="V46" s="31"/>
    </row>
    <row r="47" spans="1:32" outlineLevel="1">
      <c r="C47" s="13" t="s">
        <v>134</v>
      </c>
      <c r="G47" s="45">
        <v>43171</v>
      </c>
      <c r="H47" s="45">
        <v>51416</v>
      </c>
      <c r="I47" s="45">
        <v>60406</v>
      </c>
      <c r="J47" s="59">
        <f>J209</f>
        <v>69085.658907715697</v>
      </c>
      <c r="K47" s="59">
        <f>K209</f>
        <v>77254.024451223595</v>
      </c>
      <c r="L47" s="14"/>
      <c r="M47" s="14"/>
      <c r="N47" s="14"/>
      <c r="O47" s="14"/>
      <c r="P47" s="14"/>
      <c r="Q47" s="29"/>
      <c r="S47" s="22"/>
      <c r="U47" s="31"/>
      <c r="V47" s="31"/>
    </row>
    <row r="48" spans="1:32" outlineLevel="1">
      <c r="C48" s="13" t="s">
        <v>135</v>
      </c>
      <c r="G48" s="45">
        <v>525</v>
      </c>
      <c r="H48" s="45">
        <v>327</v>
      </c>
      <c r="I48" s="45">
        <v>410</v>
      </c>
      <c r="J48" s="59">
        <f t="shared" ref="J48:K50" si="11">I48</f>
        <v>410</v>
      </c>
      <c r="K48" s="59">
        <f t="shared" si="11"/>
        <v>410</v>
      </c>
      <c r="L48" s="80"/>
      <c r="M48" s="14"/>
      <c r="N48" s="14"/>
      <c r="O48" s="14"/>
      <c r="P48" s="14"/>
      <c r="Q48" s="29"/>
      <c r="S48" s="22"/>
      <c r="U48" s="31"/>
      <c r="V48" s="31"/>
    </row>
    <row r="49" spans="1:32" outlineLevel="1">
      <c r="C49" s="13" t="s">
        <v>136</v>
      </c>
      <c r="G49" s="45">
        <v>8672</v>
      </c>
      <c r="H49" s="45">
        <v>13427</v>
      </c>
      <c r="I49" s="45">
        <v>20380</v>
      </c>
      <c r="J49" s="59">
        <f t="shared" si="11"/>
        <v>20380</v>
      </c>
      <c r="K49" s="59">
        <f t="shared" si="11"/>
        <v>20380</v>
      </c>
      <c r="L49" s="14"/>
      <c r="M49" s="14"/>
      <c r="N49" s="14"/>
      <c r="O49" s="14"/>
      <c r="P49" s="14"/>
      <c r="Q49" s="29"/>
      <c r="S49" s="22"/>
      <c r="U49" s="31"/>
      <c r="V49" s="31"/>
    </row>
    <row r="50" spans="1:32" outlineLevel="1">
      <c r="C50" s="13" t="s">
        <v>130</v>
      </c>
      <c r="G50" s="45">
        <v>267</v>
      </c>
      <c r="H50" s="45">
        <v>206</v>
      </c>
      <c r="I50" s="45">
        <v>1430</v>
      </c>
      <c r="J50" s="59">
        <f t="shared" si="11"/>
        <v>1430</v>
      </c>
      <c r="K50" s="59">
        <f t="shared" si="11"/>
        <v>1430</v>
      </c>
      <c r="L50" s="14"/>
      <c r="M50" s="14"/>
      <c r="N50" s="14"/>
      <c r="O50" s="14"/>
      <c r="P50" s="14"/>
      <c r="Q50" s="29"/>
      <c r="S50" s="22"/>
      <c r="U50" s="31"/>
      <c r="V50" s="31"/>
    </row>
    <row r="51" spans="1:32" outlineLevel="1">
      <c r="C51" s="13" t="s">
        <v>137</v>
      </c>
      <c r="G51" s="45">
        <v>916</v>
      </c>
      <c r="H51" s="45">
        <v>1016</v>
      </c>
      <c r="I51" s="45">
        <v>1253</v>
      </c>
      <c r="J51" s="59">
        <v>1521</v>
      </c>
      <c r="K51" s="59">
        <f>J51</f>
        <v>1521</v>
      </c>
      <c r="L51" s="14"/>
      <c r="M51" s="14"/>
      <c r="N51" s="14"/>
      <c r="O51" s="14"/>
      <c r="P51" s="14"/>
      <c r="Q51" s="29"/>
      <c r="S51" s="22"/>
      <c r="U51" s="31"/>
      <c r="V51" s="31"/>
    </row>
    <row r="52" spans="1:32" outlineLevel="1">
      <c r="A52" s="17"/>
      <c r="B52" s="17" t="s">
        <v>106</v>
      </c>
      <c r="C52" s="17"/>
      <c r="D52" s="17"/>
      <c r="E52" s="17"/>
      <c r="F52" s="17"/>
      <c r="G52" s="46">
        <f>SUM(G46:G51)</f>
        <v>108913</v>
      </c>
      <c r="H52" s="46">
        <f t="shared" ref="H52:I52" si="12">SUM(H46:H51)</f>
        <v>133063</v>
      </c>
      <c r="I52" s="46">
        <f t="shared" si="12"/>
        <v>174840</v>
      </c>
      <c r="J52" s="68">
        <f>SUM(J46:J51)</f>
        <v>209704.10277247033</v>
      </c>
      <c r="K52" s="68">
        <f>SUM(K46:K51)</f>
        <v>256248.29406367202</v>
      </c>
      <c r="L52" s="40"/>
      <c r="M52" s="40"/>
      <c r="N52" s="40"/>
      <c r="O52" s="40"/>
      <c r="P52" s="40"/>
      <c r="Q52" s="41"/>
      <c r="R52" s="17"/>
      <c r="S52" s="5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spans="1:32" outlineLevel="1">
      <c r="G53" s="48"/>
      <c r="H53" s="48"/>
      <c r="I53" s="48"/>
      <c r="J53" s="48"/>
      <c r="K53" s="48"/>
      <c r="L53" s="14"/>
      <c r="M53" s="14"/>
      <c r="N53" s="14"/>
      <c r="O53" s="14"/>
      <c r="P53" s="14"/>
      <c r="Q53" s="29"/>
      <c r="S53" s="22"/>
    </row>
    <row r="54" spans="1:32" outlineLevel="1">
      <c r="A54" s="17"/>
      <c r="B54" s="17" t="s">
        <v>105</v>
      </c>
      <c r="C54" s="17"/>
      <c r="D54" s="17"/>
      <c r="E54" s="17"/>
      <c r="F54" s="17"/>
      <c r="G54" s="51">
        <f>G44+G52</f>
        <v>194508</v>
      </c>
      <c r="H54" s="51">
        <f t="shared" ref="H54:I54" si="13">H44+H52</f>
        <v>241257</v>
      </c>
      <c r="I54" s="51">
        <f t="shared" si="13"/>
        <v>314486</v>
      </c>
      <c r="J54" s="81">
        <f>J44+J52</f>
        <v>376446.66507396044</v>
      </c>
      <c r="K54" s="81">
        <f>K44+K52</f>
        <v>454738.78767164238</v>
      </c>
      <c r="L54" s="40"/>
      <c r="M54" s="40"/>
      <c r="N54" s="40"/>
      <c r="O54" s="40"/>
      <c r="P54" s="40"/>
      <c r="Q54" s="41"/>
      <c r="R54" s="17"/>
      <c r="S54" s="5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spans="1:32" outlineLevel="1">
      <c r="G55" s="48"/>
      <c r="H55" s="48"/>
      <c r="I55" s="48"/>
      <c r="J55" s="48"/>
      <c r="K55" s="48"/>
      <c r="L55" s="14"/>
      <c r="M55" s="14"/>
      <c r="N55" s="14"/>
      <c r="O55" s="14"/>
      <c r="P55" s="14"/>
      <c r="Q55" s="29"/>
      <c r="S55" s="22"/>
    </row>
    <row r="56" spans="1:32" outlineLevel="1">
      <c r="C56" s="13" t="s">
        <v>102</v>
      </c>
      <c r="G56" s="45">
        <v>13684</v>
      </c>
      <c r="H56" s="45">
        <v>1466</v>
      </c>
      <c r="I56" s="45">
        <v>6478</v>
      </c>
      <c r="J56" s="59">
        <f>I56</f>
        <v>6478</v>
      </c>
      <c r="K56" s="59">
        <f>J56</f>
        <v>6478</v>
      </c>
      <c r="L56" s="82"/>
      <c r="M56" s="14"/>
      <c r="N56" s="14"/>
      <c r="O56" s="14"/>
      <c r="P56" s="14"/>
      <c r="Q56" s="29"/>
      <c r="S56" s="22"/>
      <c r="U56" s="31"/>
      <c r="V56" s="31"/>
    </row>
    <row r="57" spans="1:32" outlineLevel="1">
      <c r="C57" s="13" t="s">
        <v>104</v>
      </c>
      <c r="G57" s="45">
        <v>8870</v>
      </c>
      <c r="H57" s="45">
        <v>15587</v>
      </c>
      <c r="I57" s="45">
        <v>25606</v>
      </c>
      <c r="J57" s="59">
        <f>-J10/J177</f>
        <v>28123.97625986718</v>
      </c>
      <c r="K57" s="59">
        <f>-K10/K177</f>
        <v>36922.90994820898</v>
      </c>
      <c r="L57" s="82"/>
      <c r="M57" s="14"/>
      <c r="N57" s="14"/>
      <c r="O57" s="14"/>
      <c r="P57" s="14"/>
      <c r="Q57" s="29"/>
      <c r="S57" s="22"/>
      <c r="U57" s="31"/>
      <c r="V57" s="31"/>
    </row>
    <row r="58" spans="1:32" outlineLevel="1">
      <c r="C58" s="13" t="s">
        <v>138</v>
      </c>
      <c r="G58" s="45">
        <v>3658</v>
      </c>
      <c r="H58" s="45">
        <v>7091</v>
      </c>
      <c r="I58" s="45">
        <v>7116</v>
      </c>
      <c r="J58" s="59">
        <f>-J10/J178</f>
        <v>10018.847463125046</v>
      </c>
      <c r="K58" s="59">
        <f>-K10/K178</f>
        <v>11628.560191060302</v>
      </c>
      <c r="L58" s="82"/>
      <c r="M58" s="14"/>
      <c r="N58" s="14"/>
      <c r="O58" s="14"/>
      <c r="P58" s="14"/>
      <c r="Q58" s="29"/>
      <c r="S58" s="22"/>
      <c r="U58" s="31"/>
      <c r="V58" s="31"/>
    </row>
    <row r="59" spans="1:32" outlineLevel="1">
      <c r="C59" s="13" t="s">
        <v>139</v>
      </c>
      <c r="G59" s="45">
        <v>19600</v>
      </c>
      <c r="H59" s="45">
        <v>23606</v>
      </c>
      <c r="I59" s="45">
        <v>28705</v>
      </c>
      <c r="J59" s="59">
        <f>-J10/J179</f>
        <v>36952.530977236631</v>
      </c>
      <c r="K59" s="59">
        <f>-K10/K179</f>
        <v>44918.229291643991</v>
      </c>
      <c r="L59" s="82"/>
      <c r="M59" s="14"/>
      <c r="N59" s="14"/>
      <c r="O59" s="14"/>
      <c r="P59" s="14"/>
      <c r="Q59" s="29"/>
      <c r="S59" s="22"/>
      <c r="U59" s="31"/>
      <c r="V59" s="31"/>
    </row>
    <row r="60" spans="1:32" outlineLevel="1">
      <c r="C60" s="13" t="s">
        <v>133</v>
      </c>
      <c r="G60" s="45">
        <v>2184</v>
      </c>
      <c r="H60" s="45">
        <v>2903</v>
      </c>
      <c r="I60" s="45">
        <v>1272</v>
      </c>
      <c r="J60" s="59">
        <f>I60</f>
        <v>1272</v>
      </c>
      <c r="K60" s="59">
        <f>J60</f>
        <v>1272</v>
      </c>
      <c r="L60" s="82"/>
      <c r="M60" s="14"/>
      <c r="N60" s="14"/>
      <c r="O60" s="14"/>
      <c r="P60" s="14"/>
      <c r="Q60" s="29"/>
      <c r="S60" s="22"/>
      <c r="U60" s="31"/>
      <c r="V60" s="31"/>
    </row>
    <row r="61" spans="1:32" outlineLevel="1">
      <c r="C61" s="13" t="s">
        <v>140</v>
      </c>
      <c r="G61" s="45">
        <v>51520</v>
      </c>
      <c r="H61" s="45">
        <v>70287</v>
      </c>
      <c r="I61" s="45">
        <v>100478</v>
      </c>
      <c r="J61" s="59">
        <f>I61</f>
        <v>100478</v>
      </c>
      <c r="K61" s="59">
        <f>J61</f>
        <v>100478</v>
      </c>
      <c r="L61" s="82"/>
      <c r="M61" s="14"/>
      <c r="N61" s="14"/>
      <c r="O61" s="14"/>
      <c r="P61" s="14"/>
      <c r="Q61" s="29"/>
      <c r="S61" s="22"/>
      <c r="U61" s="31"/>
      <c r="V61" s="31"/>
    </row>
    <row r="62" spans="1:32" outlineLevel="1">
      <c r="A62" s="17"/>
      <c r="B62" s="17" t="s">
        <v>103</v>
      </c>
      <c r="C62" s="17"/>
      <c r="D62" s="17"/>
      <c r="E62" s="17"/>
      <c r="F62" s="17"/>
      <c r="G62" s="46">
        <f>SUM(G56:G61)</f>
        <v>99516</v>
      </c>
      <c r="H62" s="46">
        <f>SUM(H56:H61)</f>
        <v>120940</v>
      </c>
      <c r="I62" s="46">
        <f>SUM(I56:I61)</f>
        <v>169655</v>
      </c>
      <c r="J62" s="68">
        <f>SUM(J56:J61)</f>
        <v>183323.35470022884</v>
      </c>
      <c r="K62" s="68">
        <f>SUM(K56:K61)</f>
        <v>201697.69943091326</v>
      </c>
      <c r="L62" s="83"/>
      <c r="M62" s="40"/>
      <c r="N62" s="40"/>
      <c r="O62" s="40"/>
      <c r="P62" s="40"/>
      <c r="Q62" s="41"/>
      <c r="R62" s="17"/>
      <c r="S62" s="5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spans="1:32" outlineLevel="1">
      <c r="G63" s="48"/>
      <c r="H63" s="48"/>
      <c r="I63" s="48"/>
      <c r="J63" s="48"/>
      <c r="K63" s="48"/>
      <c r="L63" s="14"/>
      <c r="M63" s="14"/>
      <c r="N63" s="14"/>
      <c r="O63" s="14"/>
      <c r="P63" s="14"/>
      <c r="Q63" s="29"/>
      <c r="S63" s="22"/>
    </row>
    <row r="64" spans="1:32" outlineLevel="1">
      <c r="C64" s="13" t="s">
        <v>102</v>
      </c>
      <c r="F64" s="31"/>
      <c r="G64" s="45">
        <v>12961</v>
      </c>
      <c r="H64" s="45">
        <v>24318</v>
      </c>
      <c r="I64" s="45">
        <v>20528</v>
      </c>
      <c r="J64" s="59">
        <f>J234</f>
        <v>18475.2</v>
      </c>
      <c r="K64" s="59">
        <f>K234</f>
        <v>16073.424000000001</v>
      </c>
      <c r="L64" s="14"/>
      <c r="M64" s="14"/>
      <c r="N64" s="14"/>
      <c r="O64" s="14"/>
      <c r="P64" s="14"/>
      <c r="Q64" s="29"/>
      <c r="S64" s="22"/>
      <c r="U64" s="31"/>
      <c r="V64" s="31"/>
    </row>
    <row r="65" spans="1:32" outlineLevel="1">
      <c r="C65" s="13" t="s">
        <v>141</v>
      </c>
      <c r="F65" s="31"/>
      <c r="G65" s="45">
        <v>5271</v>
      </c>
      <c r="H65" s="45">
        <v>7061</v>
      </c>
      <c r="I65" s="45">
        <v>10162</v>
      </c>
      <c r="J65" s="59">
        <f t="shared" ref="J65:K68" si="14">I65</f>
        <v>10162</v>
      </c>
      <c r="K65" s="59">
        <f t="shared" si="14"/>
        <v>10162</v>
      </c>
      <c r="L65" s="14"/>
      <c r="M65" s="14"/>
      <c r="N65" s="14"/>
      <c r="O65" s="14"/>
      <c r="P65" s="14"/>
      <c r="Q65" s="29"/>
      <c r="S65" s="22"/>
      <c r="U65" s="31"/>
      <c r="V65" s="31"/>
    </row>
    <row r="66" spans="1:32" outlineLevel="1">
      <c r="C66" s="13" t="s">
        <v>142</v>
      </c>
      <c r="F66" s="31"/>
      <c r="G66" s="45">
        <v>1280</v>
      </c>
      <c r="H66" s="45">
        <v>762</v>
      </c>
      <c r="I66" s="45">
        <v>742</v>
      </c>
      <c r="J66" s="59">
        <f t="shared" si="14"/>
        <v>742</v>
      </c>
      <c r="K66" s="59">
        <f t="shared" si="14"/>
        <v>742</v>
      </c>
      <c r="L66" s="14"/>
      <c r="M66" s="14"/>
      <c r="N66" s="14"/>
      <c r="O66" s="14"/>
      <c r="P66" s="14"/>
      <c r="Q66" s="29"/>
      <c r="S66" s="22"/>
      <c r="U66" s="31"/>
      <c r="V66" s="31"/>
    </row>
    <row r="67" spans="1:32" outlineLevel="1">
      <c r="C67" s="13" t="s">
        <v>139</v>
      </c>
      <c r="F67" s="31"/>
      <c r="G67" s="45">
        <v>360</v>
      </c>
      <c r="H67" s="45">
        <v>100</v>
      </c>
      <c r="I67" s="45">
        <v>189</v>
      </c>
      <c r="J67" s="59">
        <f t="shared" si="14"/>
        <v>189</v>
      </c>
      <c r="K67" s="59">
        <f t="shared" si="14"/>
        <v>189</v>
      </c>
      <c r="L67" s="14"/>
      <c r="M67" s="14"/>
      <c r="N67" s="14"/>
      <c r="O67" s="14"/>
      <c r="P67" s="14"/>
      <c r="Q67" s="29"/>
      <c r="S67" s="22"/>
      <c r="U67" s="31"/>
      <c r="V67" s="31"/>
    </row>
    <row r="68" spans="1:32" outlineLevel="1">
      <c r="C68" s="13" t="s">
        <v>140</v>
      </c>
      <c r="F68" s="31"/>
      <c r="G68" s="45">
        <v>4374</v>
      </c>
      <c r="H68" s="45">
        <v>4590</v>
      </c>
      <c r="I68" s="45">
        <v>6649</v>
      </c>
      <c r="J68" s="59">
        <f t="shared" si="14"/>
        <v>6649</v>
      </c>
      <c r="K68" s="59">
        <f t="shared" si="14"/>
        <v>6649</v>
      </c>
      <c r="L68" s="14"/>
      <c r="M68" s="14"/>
      <c r="N68" s="14"/>
      <c r="O68" s="14"/>
      <c r="P68" s="14"/>
      <c r="Q68" s="29"/>
      <c r="S68" s="22"/>
      <c r="U68" s="31"/>
      <c r="V68" s="31"/>
    </row>
    <row r="69" spans="1:32" outlineLevel="1">
      <c r="A69" s="17"/>
      <c r="B69" s="17" t="s">
        <v>101</v>
      </c>
      <c r="C69" s="17"/>
      <c r="D69" s="17"/>
      <c r="E69" s="17"/>
      <c r="F69" s="17"/>
      <c r="G69" s="46">
        <f>SUM(G64:G68)</f>
        <v>24246</v>
      </c>
      <c r="H69" s="46">
        <f t="shared" ref="H69:I69" si="15">SUM(H64:H68)</f>
        <v>36831</v>
      </c>
      <c r="I69" s="46">
        <f t="shared" si="15"/>
        <v>38270</v>
      </c>
      <c r="J69" s="68">
        <f>SUM(J64:J68)</f>
        <v>36217.199999999997</v>
      </c>
      <c r="K69" s="68">
        <f>SUM(K64:K68)</f>
        <v>33815.423999999999</v>
      </c>
      <c r="L69" s="40"/>
      <c r="M69" s="40"/>
      <c r="N69" s="40"/>
      <c r="O69" s="40"/>
      <c r="P69" s="40"/>
      <c r="Q69" s="41"/>
      <c r="R69" s="17"/>
      <c r="S69" s="5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1:32" outlineLevel="1">
      <c r="G70" s="48"/>
      <c r="H70" s="48"/>
      <c r="I70" s="48"/>
      <c r="J70" s="48"/>
      <c r="K70" s="48"/>
      <c r="L70" s="14"/>
      <c r="M70" s="14"/>
      <c r="N70" s="14"/>
      <c r="O70" s="14"/>
      <c r="P70" s="14"/>
      <c r="Q70" s="29"/>
      <c r="S70" s="22"/>
    </row>
    <row r="71" spans="1:32" outlineLevel="1">
      <c r="A71" s="17"/>
      <c r="B71" s="17" t="s">
        <v>100</v>
      </c>
      <c r="C71" s="17"/>
      <c r="D71" s="17"/>
      <c r="E71" s="17"/>
      <c r="F71" s="17"/>
      <c r="G71" s="51">
        <f>G62+G69</f>
        <v>123762</v>
      </c>
      <c r="H71" s="51">
        <f t="shared" ref="H71:I71" si="16">H62+H69</f>
        <v>157771</v>
      </c>
      <c r="I71" s="51">
        <f t="shared" si="16"/>
        <v>207925</v>
      </c>
      <c r="J71" s="81">
        <f>SUM(J62,J69)</f>
        <v>219540.55470022885</v>
      </c>
      <c r="K71" s="81">
        <f>SUM(K62,K69)</f>
        <v>235513.12343091326</v>
      </c>
      <c r="L71" s="40"/>
      <c r="M71" s="40"/>
      <c r="N71" s="40"/>
      <c r="O71" s="40"/>
      <c r="P71" s="40"/>
      <c r="Q71" s="41"/>
      <c r="R71" s="17"/>
      <c r="S71" s="5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1:32" outlineLevel="1">
      <c r="G72" s="48"/>
      <c r="H72" s="48"/>
      <c r="I72" s="48"/>
      <c r="J72" s="48"/>
      <c r="K72" s="48"/>
      <c r="L72" s="14"/>
      <c r="M72" s="14"/>
      <c r="N72" s="14"/>
      <c r="O72" s="14"/>
      <c r="P72" s="14"/>
      <c r="Q72" s="29"/>
      <c r="S72" s="22"/>
    </row>
    <row r="73" spans="1:32" ht="14" outlineLevel="1" thickBot="1">
      <c r="A73" s="17"/>
      <c r="B73" s="17" t="s">
        <v>99</v>
      </c>
      <c r="C73" s="17"/>
      <c r="D73" s="17"/>
      <c r="E73" s="17"/>
      <c r="F73" s="17"/>
      <c r="G73" s="49">
        <f>G54-G71</f>
        <v>70746</v>
      </c>
      <c r="H73" s="49">
        <f t="shared" ref="H73" si="17">H54-H71</f>
        <v>83486</v>
      </c>
      <c r="I73" s="49">
        <f>I54-I71</f>
        <v>106561</v>
      </c>
      <c r="J73" s="81">
        <f>J54-J71</f>
        <v>156906.11037373159</v>
      </c>
      <c r="K73" s="81">
        <f>K54-K71</f>
        <v>219225.66424072912</v>
      </c>
      <c r="L73" s="40"/>
      <c r="M73" s="40"/>
      <c r="N73" s="40"/>
      <c r="O73" s="40"/>
      <c r="P73" s="40"/>
      <c r="Q73" s="41"/>
      <c r="R73" s="17"/>
      <c r="S73" s="5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1:32" outlineLevel="1">
      <c r="G74" s="48"/>
      <c r="H74" s="48"/>
      <c r="I74" s="48"/>
      <c r="J74" s="48"/>
      <c r="K74" s="48"/>
      <c r="L74" s="14"/>
      <c r="M74" s="14"/>
      <c r="N74" s="14"/>
      <c r="O74" s="14"/>
      <c r="P74" s="14"/>
      <c r="Q74" s="29"/>
      <c r="S74" s="22"/>
    </row>
    <row r="75" spans="1:32" outlineLevel="1">
      <c r="C75" s="13" t="s">
        <v>98</v>
      </c>
      <c r="G75" s="45">
        <v>462</v>
      </c>
      <c r="H75" s="45">
        <v>456</v>
      </c>
      <c r="I75" s="45">
        <v>451</v>
      </c>
      <c r="J75" s="59">
        <f>I75</f>
        <v>451</v>
      </c>
      <c r="K75" s="59">
        <f>J75</f>
        <v>451</v>
      </c>
      <c r="L75" s="14"/>
      <c r="M75" s="14"/>
      <c r="N75" s="14"/>
      <c r="O75" s="14"/>
      <c r="P75" s="14"/>
      <c r="Q75" s="14"/>
      <c r="S75" s="22"/>
      <c r="U75" s="31"/>
      <c r="V75" s="31"/>
    </row>
    <row r="76" spans="1:32" outlineLevel="1">
      <c r="C76" s="13" t="s">
        <v>143</v>
      </c>
      <c r="G76" s="45">
        <v>-6</v>
      </c>
      <c r="H76" s="45">
        <v>-6</v>
      </c>
      <c r="I76" s="45">
        <v>-5</v>
      </c>
      <c r="J76" s="59">
        <f>I76</f>
        <v>-5</v>
      </c>
      <c r="K76" s="59">
        <f>J76</f>
        <v>-5</v>
      </c>
      <c r="L76" s="14"/>
      <c r="M76" s="14"/>
      <c r="N76" s="14"/>
      <c r="O76" s="14"/>
      <c r="P76" s="14"/>
      <c r="Q76" s="29"/>
      <c r="S76" s="22"/>
      <c r="U76" s="31"/>
      <c r="V76" s="31"/>
    </row>
    <row r="77" spans="1:32" outlineLevel="1">
      <c r="C77" s="13" t="s">
        <v>96</v>
      </c>
      <c r="G77" s="45">
        <v>72004</v>
      </c>
      <c r="H77" s="45">
        <v>80587</v>
      </c>
      <c r="I77" s="45">
        <v>104839</v>
      </c>
      <c r="J77" s="59">
        <f>J195</f>
        <v>155184.55970638292</v>
      </c>
      <c r="K77" s="59">
        <f>K195</f>
        <v>217503.27507132571</v>
      </c>
      <c r="L77" s="14"/>
      <c r="M77" s="14"/>
      <c r="N77" s="14"/>
      <c r="O77" s="14"/>
      <c r="P77" s="14"/>
      <c r="Q77" s="29"/>
      <c r="S77" s="22"/>
      <c r="U77" s="31"/>
      <c r="V77" s="31"/>
    </row>
    <row r="78" spans="1:32" outlineLevel="1">
      <c r="C78" s="13" t="s">
        <v>97</v>
      </c>
      <c r="G78" s="45">
        <v>-1714</v>
      </c>
      <c r="H78" s="45">
        <v>2449</v>
      </c>
      <c r="I78" s="45">
        <v>1276</v>
      </c>
      <c r="J78" s="59">
        <f>I78</f>
        <v>1276</v>
      </c>
      <c r="K78" s="59">
        <f>J78</f>
        <v>1276</v>
      </c>
      <c r="L78" s="14"/>
      <c r="M78" s="14"/>
      <c r="N78" s="14"/>
      <c r="O78" s="14"/>
      <c r="P78" s="14"/>
      <c r="Q78" s="29"/>
      <c r="S78" s="22"/>
      <c r="U78" s="31"/>
      <c r="V78" s="31"/>
    </row>
    <row r="79" spans="1:32" ht="14" outlineLevel="1" thickBot="1">
      <c r="A79" s="17"/>
      <c r="B79" s="17" t="s">
        <v>95</v>
      </c>
      <c r="C79" s="17"/>
      <c r="D79" s="17"/>
      <c r="E79" s="17"/>
      <c r="F79" s="17"/>
      <c r="G79" s="49">
        <f>SUM(G75:G78)</f>
        <v>70746</v>
      </c>
      <c r="H79" s="49">
        <f t="shared" ref="H79:I79" si="18">SUM(H75:H78)</f>
        <v>83486</v>
      </c>
      <c r="I79" s="49">
        <f t="shared" si="18"/>
        <v>106561</v>
      </c>
      <c r="J79" s="81">
        <f>SUM(J75:J78)</f>
        <v>156906.55970638292</v>
      </c>
      <c r="K79" s="81">
        <f>SUM(K75:K78)</f>
        <v>219225.27507132571</v>
      </c>
      <c r="L79" s="40"/>
      <c r="M79" s="40"/>
      <c r="N79" s="40"/>
      <c r="O79" s="40"/>
      <c r="P79" s="40"/>
      <c r="Q79" s="41"/>
      <c r="R79" s="17"/>
      <c r="S79" s="5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1:32" outlineLevel="1">
      <c r="G80" s="48">
        <f>G79-G73</f>
        <v>0</v>
      </c>
      <c r="H80" s="48">
        <f t="shared" ref="H80:I80" si="19">H79-H73</f>
        <v>0</v>
      </c>
      <c r="I80" s="48">
        <f t="shared" si="19"/>
        <v>0</v>
      </c>
      <c r="J80" s="48">
        <f>J79-J73</f>
        <v>0.44933265133295208</v>
      </c>
      <c r="K80" s="48">
        <f>K79-K73</f>
        <v>-0.38916940341005102</v>
      </c>
      <c r="L80" s="14"/>
      <c r="M80" s="14"/>
      <c r="N80" s="14"/>
      <c r="O80" s="14"/>
      <c r="P80" s="14"/>
      <c r="Q80" s="29"/>
      <c r="S80" s="22"/>
    </row>
    <row r="81" spans="2:32">
      <c r="G81" s="48"/>
      <c r="H81" s="48"/>
      <c r="I81" s="48"/>
      <c r="J81" s="48"/>
      <c r="K81" s="48"/>
      <c r="L81" s="14"/>
      <c r="M81" s="14"/>
      <c r="N81" s="14"/>
      <c r="O81" s="14"/>
      <c r="P81" s="14"/>
      <c r="S81" s="22"/>
    </row>
    <row r="82" spans="2:32" ht="14">
      <c r="B82" s="28" t="s">
        <v>94</v>
      </c>
      <c r="C82" s="26"/>
      <c r="D82" s="26"/>
      <c r="E82" s="26"/>
      <c r="F82" s="26"/>
      <c r="G82" s="50"/>
      <c r="H82" s="50"/>
      <c r="I82" s="50"/>
      <c r="J82" s="64"/>
      <c r="K82" s="64"/>
      <c r="L82" s="43"/>
      <c r="M82" s="43"/>
      <c r="N82" s="43"/>
      <c r="O82" s="43"/>
      <c r="P82" s="43"/>
      <c r="Q82" s="39"/>
      <c r="S82" s="22"/>
      <c r="AA82" s="24"/>
      <c r="AB82" s="24"/>
      <c r="AC82" s="24"/>
      <c r="AD82" s="24"/>
      <c r="AE82" s="24"/>
      <c r="AF82" s="24"/>
    </row>
    <row r="83" spans="2:32" outlineLevel="1">
      <c r="B83" s="13" t="s">
        <v>145</v>
      </c>
      <c r="G83" s="48">
        <v>47757</v>
      </c>
      <c r="H83" s="48">
        <v>55525</v>
      </c>
      <c r="I83" s="48">
        <v>83683</v>
      </c>
      <c r="J83" s="59">
        <f>J32</f>
        <v>98716.783738005717</v>
      </c>
      <c r="K83" s="59">
        <f>K32</f>
        <v>124637.43072988561</v>
      </c>
      <c r="L83" s="14"/>
      <c r="M83" s="14"/>
      <c r="N83" s="14"/>
      <c r="O83" s="14"/>
      <c r="P83" s="14"/>
      <c r="Q83" s="29"/>
      <c r="S83" s="22"/>
    </row>
    <row r="84" spans="2:32" outlineLevel="1">
      <c r="B84" s="30" t="s">
        <v>144</v>
      </c>
      <c r="G84" s="48"/>
      <c r="H84" s="48"/>
      <c r="I84" s="48"/>
      <c r="J84" s="59"/>
      <c r="K84" s="59"/>
      <c r="L84" s="14"/>
      <c r="M84" s="14"/>
      <c r="N84" s="14"/>
      <c r="O84" s="14"/>
      <c r="P84" s="14"/>
      <c r="Q84" s="29"/>
      <c r="S84" s="22"/>
    </row>
    <row r="85" spans="2:32" outlineLevel="1">
      <c r="C85" s="13" t="s">
        <v>146</v>
      </c>
      <c r="G85" s="48">
        <v>11323</v>
      </c>
      <c r="H85" s="48">
        <v>13537</v>
      </c>
      <c r="I85" s="48">
        <v>20991</v>
      </c>
      <c r="J85" s="59">
        <f>-J31</f>
        <v>23155.788778050726</v>
      </c>
      <c r="K85" s="59">
        <f>-K31</f>
        <v>29235.940541578108</v>
      </c>
      <c r="L85" s="14"/>
      <c r="M85" s="14"/>
      <c r="N85" s="14"/>
      <c r="O85" s="14"/>
      <c r="P85" s="14"/>
      <c r="Q85" s="29"/>
      <c r="S85" s="22"/>
    </row>
    <row r="86" spans="2:32" outlineLevel="1">
      <c r="C86" s="13" t="s">
        <v>147</v>
      </c>
      <c r="G86" s="48">
        <v>6025</v>
      </c>
      <c r="H86" s="48">
        <v>7362</v>
      </c>
      <c r="I86" s="48">
        <v>9413</v>
      </c>
      <c r="J86" s="59">
        <f>-J21</f>
        <v>14015.556135245351</v>
      </c>
      <c r="K86" s="59">
        <f>-K21</f>
        <v>14815.808708798306</v>
      </c>
      <c r="L86" s="14"/>
      <c r="M86" s="14"/>
      <c r="N86" s="14"/>
      <c r="O86" s="14"/>
      <c r="P86" s="14"/>
      <c r="Q86" s="29"/>
      <c r="S86" s="22"/>
    </row>
    <row r="87" spans="2:32" outlineLevel="1">
      <c r="C87" s="13" t="s">
        <v>148</v>
      </c>
      <c r="G87" s="48">
        <v>13416</v>
      </c>
      <c r="H87" s="48">
        <v>22310</v>
      </c>
      <c r="I87" s="48">
        <v>32382</v>
      </c>
      <c r="J87" s="59">
        <v>41433</v>
      </c>
      <c r="K87" s="59">
        <v>42176</v>
      </c>
      <c r="L87" s="14"/>
      <c r="M87" s="14"/>
      <c r="N87" s="14"/>
      <c r="O87" s="14"/>
      <c r="P87" s="14"/>
      <c r="Q87" s="29"/>
      <c r="S87" s="22"/>
    </row>
    <row r="88" spans="2:32" outlineLevel="1">
      <c r="G88" s="48"/>
      <c r="H88" s="48"/>
      <c r="I88" s="48"/>
      <c r="J88" s="59"/>
      <c r="K88" s="59"/>
      <c r="L88" s="14"/>
      <c r="M88" s="14"/>
      <c r="N88" s="14"/>
      <c r="O88" s="14"/>
      <c r="P88" s="14"/>
      <c r="Q88" s="29"/>
      <c r="S88" s="22"/>
    </row>
    <row r="89" spans="2:32" outlineLevel="1">
      <c r="C89" s="13" t="s">
        <v>205</v>
      </c>
      <c r="G89" s="48">
        <f>G97+G98</f>
        <v>-9063</v>
      </c>
      <c r="H89" s="48">
        <f t="shared" ref="H89:I89" si="20">H97+H98</f>
        <v>-5336</v>
      </c>
      <c r="I89" s="48">
        <f t="shared" si="20"/>
        <v>-12245</v>
      </c>
      <c r="J89" s="59">
        <f>SUM(J97:J98)</f>
        <v>-18905.430968568966</v>
      </c>
      <c r="K89" s="59">
        <f>SUM(K97:K98)</f>
        <v>-17515.67902817377</v>
      </c>
      <c r="L89" s="14" t="s">
        <v>204</v>
      </c>
      <c r="M89" s="14"/>
      <c r="N89" s="14"/>
      <c r="O89" s="14"/>
      <c r="P89" s="14"/>
      <c r="Q89" s="29"/>
      <c r="S89" s="22"/>
    </row>
    <row r="90" spans="2:32" outlineLevel="1">
      <c r="C90" s="13" t="s">
        <v>206</v>
      </c>
      <c r="G90" s="84">
        <v>-1085</v>
      </c>
      <c r="H90" s="48">
        <v>-4767</v>
      </c>
      <c r="I90" s="48">
        <v>-7423</v>
      </c>
      <c r="J90" s="59">
        <f>I41-J41</f>
        <v>-7731.1714951437098</v>
      </c>
      <c r="K90" s="59">
        <f>J41-K41</f>
        <v>-9373.4366775238814</v>
      </c>
      <c r="L90" s="14"/>
      <c r="M90" s="14"/>
      <c r="N90" s="14"/>
      <c r="O90" s="14"/>
      <c r="P90" s="14"/>
      <c r="Q90" s="29"/>
      <c r="S90" s="22"/>
    </row>
    <row r="91" spans="2:32" outlineLevel="1">
      <c r="C91" s="13" t="s">
        <v>207</v>
      </c>
      <c r="G91" s="84">
        <v>-12909</v>
      </c>
      <c r="H91" s="48">
        <v>-9917</v>
      </c>
      <c r="I91" s="48">
        <v>-14210</v>
      </c>
      <c r="J91" s="59">
        <f>I38-J38</f>
        <v>-16460.461842166347</v>
      </c>
      <c r="K91" s="59">
        <f>J38-K38</f>
        <v>-18806.631392282448</v>
      </c>
      <c r="L91" s="14"/>
      <c r="M91" s="14"/>
      <c r="N91" s="14"/>
      <c r="O91" s="14"/>
      <c r="P91" s="14"/>
      <c r="Q91" s="29"/>
      <c r="S91" s="22"/>
    </row>
    <row r="92" spans="2:32" outlineLevel="1">
      <c r="C92" s="13" t="s">
        <v>208</v>
      </c>
      <c r="G92" s="84">
        <v>-876</v>
      </c>
      <c r="H92" s="48">
        <v>-968</v>
      </c>
      <c r="I92" s="48">
        <v>-2063</v>
      </c>
      <c r="J92" s="59">
        <f>I40-J40</f>
        <v>-1812.3048683627221</v>
      </c>
      <c r="K92" s="59">
        <f>J40-K40</f>
        <v>-2433.2429611166026</v>
      </c>
      <c r="L92" s="14"/>
      <c r="M92" s="14"/>
      <c r="N92" s="14"/>
      <c r="O92" s="14"/>
      <c r="P92" s="14"/>
      <c r="Q92" s="29"/>
      <c r="S92" s="22"/>
    </row>
    <row r="93" spans="2:32" outlineLevel="1">
      <c r="C93" s="13" t="s">
        <v>209</v>
      </c>
      <c r="G93" s="84">
        <v>3153</v>
      </c>
      <c r="H93" s="48">
        <v>6717</v>
      </c>
      <c r="I93" s="48">
        <v>10019</v>
      </c>
      <c r="J93" s="59">
        <f>-(I57-J57)</f>
        <v>2517.9762598671805</v>
      </c>
      <c r="K93" s="59">
        <f>-(J57-K57)</f>
        <v>8798.9336883418</v>
      </c>
      <c r="L93" s="14"/>
      <c r="M93" s="14"/>
      <c r="N93" s="14"/>
      <c r="O93" s="14"/>
      <c r="P93" s="14"/>
      <c r="Q93" s="29"/>
      <c r="S93" s="22"/>
    </row>
    <row r="94" spans="2:32" outlineLevel="1">
      <c r="C94" s="13" t="s">
        <v>210</v>
      </c>
      <c r="G94" s="84">
        <v>2595</v>
      </c>
      <c r="H94" s="48">
        <v>4006</v>
      </c>
      <c r="I94" s="48">
        <v>5099</v>
      </c>
      <c r="J94" s="59">
        <f>-(I59-J59)</f>
        <v>8247.5309772366309</v>
      </c>
      <c r="K94" s="59">
        <f>-(J59-K59)</f>
        <v>7965.6983144073602</v>
      </c>
      <c r="L94" s="14"/>
      <c r="M94" s="14"/>
      <c r="N94" s="14"/>
      <c r="O94" s="14"/>
      <c r="P94" s="14"/>
      <c r="Q94" s="29"/>
      <c r="S94" s="22"/>
    </row>
    <row r="95" spans="2:32" outlineLevel="1">
      <c r="C95" s="13" t="s">
        <v>211</v>
      </c>
      <c r="G95" s="84">
        <v>-15</v>
      </c>
      <c r="H95" s="48">
        <v>-1567</v>
      </c>
      <c r="I95" s="48">
        <v>-2432</v>
      </c>
      <c r="J95" s="59">
        <f>I95</f>
        <v>-2432</v>
      </c>
      <c r="K95" s="59">
        <f>J95</f>
        <v>-2432</v>
      </c>
      <c r="L95" s="14"/>
      <c r="M95" s="14"/>
      <c r="N95" s="14"/>
      <c r="O95" s="14"/>
      <c r="P95" s="14"/>
      <c r="Q95" s="29"/>
      <c r="S95" s="22"/>
    </row>
    <row r="96" spans="2:32" outlineLevel="1">
      <c r="C96" s="13" t="s">
        <v>212</v>
      </c>
      <c r="G96" s="84">
        <v>-1409</v>
      </c>
      <c r="H96" s="48">
        <v>-143</v>
      </c>
      <c r="I96" s="48">
        <v>0</v>
      </c>
      <c r="J96" s="59">
        <v>0</v>
      </c>
      <c r="K96" s="59">
        <v>0</v>
      </c>
      <c r="L96" s="14"/>
      <c r="M96" s="14"/>
      <c r="N96" s="14"/>
      <c r="O96" s="14"/>
      <c r="P96" s="14"/>
      <c r="Q96" s="29"/>
      <c r="S96" s="22"/>
    </row>
    <row r="97" spans="1:32" outlineLevel="1">
      <c r="C97" s="13" t="s">
        <v>213</v>
      </c>
      <c r="G97" s="48">
        <f>SUM(G90:G96)</f>
        <v>-10546</v>
      </c>
      <c r="H97" s="48">
        <f>SUM(H90:H96)</f>
        <v>-6639</v>
      </c>
      <c r="I97" s="48">
        <f>SUM(I90:I95)</f>
        <v>-11010</v>
      </c>
      <c r="J97" s="59">
        <f t="shared" ref="J97:K97" si="21">SUM(J90:J95)</f>
        <v>-17670.430968568966</v>
      </c>
      <c r="K97" s="59">
        <f t="shared" si="21"/>
        <v>-16280.67902817377</v>
      </c>
      <c r="L97" s="14"/>
      <c r="M97" s="14"/>
      <c r="N97" s="14"/>
      <c r="O97" s="14"/>
      <c r="P97" s="14"/>
      <c r="Q97" s="29"/>
      <c r="S97" s="22"/>
    </row>
    <row r="98" spans="1:32" outlineLevel="1">
      <c r="C98" s="13" t="s">
        <v>214</v>
      </c>
      <c r="G98" s="48">
        <v>1483</v>
      </c>
      <c r="H98" s="48">
        <v>1303</v>
      </c>
      <c r="I98" s="48">
        <v>-1235</v>
      </c>
      <c r="J98" s="59">
        <f>I98</f>
        <v>-1235</v>
      </c>
      <c r="K98" s="59">
        <f>J98</f>
        <v>-1235</v>
      </c>
      <c r="L98" s="14"/>
      <c r="M98" s="14"/>
      <c r="N98" s="14"/>
      <c r="O98" s="14"/>
      <c r="P98" s="14"/>
      <c r="Q98" s="29"/>
      <c r="S98" s="22"/>
    </row>
    <row r="99" spans="1:32" outlineLevel="1">
      <c r="G99" s="48"/>
      <c r="H99" s="48"/>
      <c r="I99" s="48"/>
      <c r="J99" s="59"/>
      <c r="K99" s="59"/>
      <c r="L99" s="14"/>
      <c r="M99" s="14"/>
      <c r="N99" s="14"/>
      <c r="O99" s="14"/>
      <c r="P99" s="14"/>
      <c r="Q99" s="29"/>
      <c r="S99" s="22"/>
    </row>
    <row r="100" spans="1:32" outlineLevel="1">
      <c r="C100" s="13" t="s">
        <v>89</v>
      </c>
      <c r="G100" s="48">
        <v>241</v>
      </c>
      <c r="H100" s="48">
        <v>276</v>
      </c>
      <c r="I100" s="48">
        <v>1072</v>
      </c>
      <c r="J100" s="59">
        <f t="shared" ref="J100:K102" si="22">I100</f>
        <v>1072</v>
      </c>
      <c r="K100" s="59">
        <f t="shared" si="22"/>
        <v>1072</v>
      </c>
      <c r="L100" s="44"/>
      <c r="M100" s="44"/>
      <c r="N100" s="44"/>
      <c r="O100" s="44"/>
      <c r="P100" s="44"/>
      <c r="Q100" s="29"/>
      <c r="S100" s="22"/>
    </row>
    <row r="101" spans="1:32" outlineLevel="1">
      <c r="C101" s="13" t="s">
        <v>92</v>
      </c>
      <c r="G101" s="48">
        <v>-261</v>
      </c>
      <c r="H101" s="48">
        <v>-272</v>
      </c>
      <c r="I101" s="48">
        <v>-491</v>
      </c>
      <c r="J101" s="59">
        <f t="shared" si="22"/>
        <v>-491</v>
      </c>
      <c r="K101" s="59">
        <f t="shared" si="22"/>
        <v>-491</v>
      </c>
      <c r="L101" s="14"/>
      <c r="M101" s="14"/>
      <c r="N101" s="14"/>
      <c r="O101" s="14"/>
      <c r="P101" s="14"/>
      <c r="Q101" s="29"/>
      <c r="S101" s="22"/>
    </row>
    <row r="102" spans="1:32" outlineLevel="1">
      <c r="C102" s="13" t="s">
        <v>91</v>
      </c>
      <c r="G102" s="52">
        <v>-14438</v>
      </c>
      <c r="H102" s="52">
        <v>-14515</v>
      </c>
      <c r="I102" s="52">
        <v>-25897</v>
      </c>
      <c r="J102" s="61">
        <f t="shared" si="22"/>
        <v>-25897</v>
      </c>
      <c r="K102" s="61">
        <f t="shared" si="22"/>
        <v>-25897</v>
      </c>
      <c r="L102" s="14"/>
      <c r="M102" s="14"/>
      <c r="N102" s="14"/>
      <c r="O102" s="14"/>
      <c r="P102" s="14"/>
      <c r="Q102" s="29"/>
      <c r="S102" s="22"/>
    </row>
    <row r="103" spans="1:32" outlineLevel="1">
      <c r="G103" s="48"/>
      <c r="H103" s="48"/>
      <c r="I103" s="48"/>
      <c r="J103" s="48"/>
      <c r="K103" s="48"/>
      <c r="L103" s="14"/>
      <c r="M103" s="14"/>
      <c r="N103" s="14"/>
      <c r="O103" s="14"/>
      <c r="P103" s="14"/>
      <c r="Q103" s="29"/>
      <c r="S103" s="22"/>
    </row>
    <row r="104" spans="1:32" outlineLevel="1">
      <c r="A104" s="17"/>
      <c r="B104" s="17" t="s">
        <v>90</v>
      </c>
      <c r="C104" s="17"/>
      <c r="D104" s="17"/>
      <c r="E104" s="17"/>
      <c r="F104" s="17"/>
      <c r="G104" s="53">
        <f>SUM(G83,G85:G87,G89,G100:G102)</f>
        <v>55000</v>
      </c>
      <c r="H104" s="53">
        <f t="shared" ref="H104:I104" si="23">SUM(H83,H85:H87,H89,H100:H102)</f>
        <v>78887</v>
      </c>
      <c r="I104" s="53">
        <f t="shared" si="23"/>
        <v>108908</v>
      </c>
      <c r="J104" s="53">
        <f>SUM(J83,J85:J87,J89,J100:J102)</f>
        <v>133099.69768273283</v>
      </c>
      <c r="K104" s="53">
        <f>SUM(K83,K85:K87,K89,K100:K102)</f>
        <v>168033.50095208827</v>
      </c>
      <c r="L104" s="40"/>
      <c r="M104" s="40"/>
      <c r="N104" s="40"/>
      <c r="O104" s="40"/>
      <c r="P104" s="40"/>
      <c r="Q104" s="29"/>
      <c r="R104" s="17"/>
      <c r="S104" s="5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spans="1:32" outlineLevel="1">
      <c r="A105" s="17"/>
      <c r="B105" s="17"/>
      <c r="C105" s="17"/>
      <c r="D105" s="17"/>
      <c r="E105" s="17"/>
      <c r="F105" s="17"/>
      <c r="G105" s="54"/>
      <c r="H105" s="54"/>
      <c r="I105" s="54"/>
      <c r="J105" s="59"/>
      <c r="K105" s="59"/>
      <c r="L105" s="40"/>
      <c r="M105" s="40"/>
      <c r="N105" s="40"/>
      <c r="O105" s="40"/>
      <c r="P105" s="40"/>
      <c r="Q105" s="29"/>
      <c r="R105" s="17"/>
      <c r="S105" s="5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spans="1:32" outlineLevel="1">
      <c r="C106" s="13" t="s">
        <v>149</v>
      </c>
      <c r="G106" s="48">
        <v>-1050</v>
      </c>
      <c r="H106" s="48">
        <v>-2607</v>
      </c>
      <c r="I106" s="48">
        <v>-13090</v>
      </c>
      <c r="J106" s="48">
        <f>-J207</f>
        <v>-12238</v>
      </c>
      <c r="K106" s="48">
        <f>-K207</f>
        <v>-12238</v>
      </c>
      <c r="L106" s="14"/>
      <c r="M106" s="14"/>
      <c r="N106" s="14"/>
      <c r="O106" s="14"/>
      <c r="P106" s="14"/>
      <c r="Q106" s="29"/>
      <c r="S106" s="22"/>
    </row>
    <row r="107" spans="1:32" outlineLevel="1">
      <c r="C107" s="13" t="s">
        <v>150</v>
      </c>
      <c r="G107" s="48">
        <v>-6335</v>
      </c>
      <c r="H107" s="48">
        <v>-12146</v>
      </c>
      <c r="I107" s="48">
        <v>-25806</v>
      </c>
      <c r="J107" s="59">
        <f>-J201</f>
        <v>-34232</v>
      </c>
      <c r="K107" s="59">
        <f>-K201</f>
        <v>-49122</v>
      </c>
      <c r="L107" s="14"/>
      <c r="M107" s="14"/>
      <c r="N107" s="14"/>
      <c r="O107" s="14"/>
      <c r="P107" s="14"/>
      <c r="Q107" s="29"/>
      <c r="S107" s="22"/>
    </row>
    <row r="108" spans="1:32" outlineLevel="1">
      <c r="C108" s="13" t="s">
        <v>151</v>
      </c>
      <c r="G108" s="48">
        <v>-18283</v>
      </c>
      <c r="H108" s="48">
        <v>-7075</v>
      </c>
      <c r="I108" s="48">
        <v>0</v>
      </c>
      <c r="J108" s="59">
        <f>I108</f>
        <v>0</v>
      </c>
      <c r="K108" s="59">
        <f>J108</f>
        <v>0</v>
      </c>
      <c r="L108" s="14"/>
      <c r="M108" s="14"/>
      <c r="N108" s="14"/>
      <c r="O108" s="14"/>
      <c r="P108" s="14"/>
      <c r="Q108" s="29"/>
      <c r="S108" s="22"/>
    </row>
    <row r="109" spans="1:32" outlineLevel="1">
      <c r="C109" s="13" t="s">
        <v>152</v>
      </c>
      <c r="G109" s="48">
        <v>0</v>
      </c>
      <c r="H109" s="48">
        <v>0</v>
      </c>
      <c r="I109" s="48">
        <v>33</v>
      </c>
      <c r="J109" s="59">
        <v>0</v>
      </c>
      <c r="K109" s="59">
        <v>0</v>
      </c>
      <c r="L109" s="14"/>
      <c r="M109" s="14"/>
      <c r="N109" s="14"/>
      <c r="O109" s="14"/>
      <c r="P109" s="14"/>
      <c r="Q109" s="29"/>
      <c r="S109" s="22"/>
    </row>
    <row r="110" spans="1:32" outlineLevel="1">
      <c r="C110" s="13" t="s">
        <v>153</v>
      </c>
      <c r="G110" s="48">
        <v>-4</v>
      </c>
      <c r="H110" s="48">
        <v>-169</v>
      </c>
      <c r="I110" s="48">
        <v>-271</v>
      </c>
      <c r="J110" s="59">
        <f t="shared" ref="J110:K112" si="24">I110</f>
        <v>-271</v>
      </c>
      <c r="K110" s="59">
        <f t="shared" si="24"/>
        <v>-271</v>
      </c>
      <c r="L110" s="14"/>
      <c r="M110" s="14"/>
      <c r="N110" s="14"/>
      <c r="O110" s="14"/>
      <c r="P110" s="14"/>
      <c r="Q110" s="29"/>
      <c r="S110" s="22"/>
    </row>
    <row r="111" spans="1:32" outlineLevel="1">
      <c r="C111" s="13" t="s">
        <v>154</v>
      </c>
      <c r="G111" s="48">
        <v>-7109</v>
      </c>
      <c r="H111" s="48">
        <v>-9566</v>
      </c>
      <c r="I111" s="48">
        <v>-13018</v>
      </c>
      <c r="J111" s="59">
        <f t="shared" si="24"/>
        <v>-13018</v>
      </c>
      <c r="K111" s="59">
        <f t="shared" si="24"/>
        <v>-13018</v>
      </c>
      <c r="L111" s="14"/>
      <c r="M111" s="14"/>
      <c r="N111" s="14"/>
      <c r="O111" s="14"/>
      <c r="P111" s="14"/>
      <c r="Q111" s="29"/>
      <c r="S111" s="22"/>
    </row>
    <row r="112" spans="1:32" outlineLevel="1">
      <c r="C112" s="13" t="s">
        <v>155</v>
      </c>
      <c r="G112" s="48">
        <v>1172</v>
      </c>
      <c r="H112" s="48">
        <v>6645</v>
      </c>
      <c r="I112" s="48">
        <v>8260</v>
      </c>
      <c r="J112" s="59">
        <f t="shared" si="24"/>
        <v>8260</v>
      </c>
      <c r="K112" s="59">
        <f t="shared" si="24"/>
        <v>8260</v>
      </c>
      <c r="L112" s="14"/>
      <c r="M112" s="14"/>
      <c r="N112" s="14"/>
      <c r="O112" s="14"/>
      <c r="P112" s="14"/>
      <c r="Q112" s="29"/>
      <c r="S112" s="22"/>
    </row>
    <row r="113" spans="1:32" outlineLevel="1">
      <c r="C113" s="13" t="s">
        <v>156</v>
      </c>
      <c r="G113" s="48">
        <v>4</v>
      </c>
      <c r="H113" s="48">
        <v>0</v>
      </c>
      <c r="I113" s="48">
        <v>0</v>
      </c>
      <c r="J113" s="59">
        <v>0</v>
      </c>
      <c r="K113" s="59">
        <v>0</v>
      </c>
      <c r="L113" s="14"/>
      <c r="M113" s="14"/>
      <c r="N113" s="14"/>
      <c r="O113" s="14"/>
      <c r="P113" s="14"/>
      <c r="Q113" s="29"/>
      <c r="S113" s="22"/>
    </row>
    <row r="114" spans="1:32" outlineLevel="1">
      <c r="A114" s="17"/>
      <c r="B114" s="17" t="s">
        <v>88</v>
      </c>
      <c r="C114" s="17"/>
      <c r="D114" s="17"/>
      <c r="E114" s="17"/>
      <c r="F114" s="17"/>
      <c r="G114" s="53">
        <f>SUM(G106:G113)</f>
        <v>-31605</v>
      </c>
      <c r="H114" s="53">
        <f t="shared" ref="H114" si="25">SUM(H106:H113)</f>
        <v>-24918</v>
      </c>
      <c r="I114" s="53">
        <f>SUM(I106:I113)</f>
        <v>-43892</v>
      </c>
      <c r="J114" s="62">
        <f>SUM(J106:J113)</f>
        <v>-51499</v>
      </c>
      <c r="K114" s="62">
        <f>SUM(K106:K113)</f>
        <v>-66389</v>
      </c>
      <c r="L114" s="40"/>
      <c r="M114" s="40"/>
      <c r="N114" s="40"/>
      <c r="O114" s="40"/>
      <c r="P114" s="40"/>
      <c r="Q114" s="29"/>
      <c r="R114" s="17"/>
      <c r="S114" s="5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spans="1:32" outlineLevel="1">
      <c r="G115" s="48"/>
      <c r="H115" s="48"/>
      <c r="I115" s="48"/>
      <c r="J115" s="59"/>
      <c r="K115" s="59"/>
      <c r="L115" s="14"/>
      <c r="M115" s="14"/>
      <c r="N115" s="14"/>
      <c r="O115" s="14"/>
      <c r="P115" s="14"/>
      <c r="Q115" s="29"/>
      <c r="S115" s="22"/>
    </row>
    <row r="116" spans="1:32" outlineLevel="1">
      <c r="C116" s="13" t="s">
        <v>157</v>
      </c>
      <c r="G116" s="48">
        <v>-19447</v>
      </c>
      <c r="H116" s="48">
        <v>-24086</v>
      </c>
      <c r="I116" s="48">
        <v>-29924</v>
      </c>
      <c r="J116" s="59">
        <f>I116</f>
        <v>-29924</v>
      </c>
      <c r="K116" s="59">
        <f>J116</f>
        <v>-29924</v>
      </c>
      <c r="L116" s="14"/>
      <c r="M116" s="14"/>
      <c r="N116" s="14"/>
      <c r="O116" s="14"/>
      <c r="P116" s="14"/>
      <c r="Q116" s="29"/>
      <c r="S116" s="22"/>
    </row>
    <row r="117" spans="1:32" outlineLevel="1">
      <c r="C117" s="13" t="s">
        <v>86</v>
      </c>
      <c r="G117" s="48">
        <v>-21517</v>
      </c>
      <c r="H117" s="48">
        <v>-25303</v>
      </c>
      <c r="I117" s="48">
        <v>-31767</v>
      </c>
      <c r="J117" s="59">
        <f>J194</f>
        <v>-48371.224031622798</v>
      </c>
      <c r="K117" s="59">
        <f>K194</f>
        <v>-62318.715364942807</v>
      </c>
      <c r="L117" s="14"/>
      <c r="M117" s="14"/>
      <c r="N117" s="14"/>
      <c r="O117" s="14"/>
      <c r="P117" s="14"/>
      <c r="Q117" s="29"/>
      <c r="S117" s="22"/>
    </row>
    <row r="118" spans="1:32" outlineLevel="1">
      <c r="C118" s="13" t="s">
        <v>158</v>
      </c>
      <c r="G118" s="48">
        <v>22160</v>
      </c>
      <c r="H118" s="48">
        <v>11215</v>
      </c>
      <c r="I118" s="48">
        <v>0</v>
      </c>
      <c r="J118" s="59">
        <f>I118</f>
        <v>0</v>
      </c>
      <c r="K118" s="59">
        <v>0</v>
      </c>
      <c r="L118" s="14"/>
      <c r="M118" s="14"/>
      <c r="N118" s="14"/>
      <c r="O118" s="14"/>
      <c r="P118" s="14"/>
      <c r="Q118" s="29"/>
      <c r="S118" s="22"/>
    </row>
    <row r="119" spans="1:32" outlineLevel="1">
      <c r="C119" s="13" t="s">
        <v>87</v>
      </c>
      <c r="G119" s="48">
        <v>-6689</v>
      </c>
      <c r="H119" s="48">
        <v>-13623</v>
      </c>
      <c r="I119" s="48">
        <v>-1467</v>
      </c>
      <c r="J119" s="59">
        <f>J232</f>
        <v>-2052.8000000000002</v>
      </c>
      <c r="K119" s="59">
        <f>K232</f>
        <v>-2401.7760000000003</v>
      </c>
      <c r="L119" s="14"/>
      <c r="M119" s="14"/>
      <c r="N119" s="14"/>
      <c r="O119" s="14"/>
      <c r="P119" s="14"/>
      <c r="Q119" s="29"/>
      <c r="S119" s="22"/>
    </row>
    <row r="120" spans="1:32" outlineLevel="1">
      <c r="A120" s="17"/>
      <c r="B120" s="17" t="s">
        <v>85</v>
      </c>
      <c r="C120" s="17"/>
      <c r="D120" s="17"/>
      <c r="E120" s="17"/>
      <c r="F120" s="17"/>
      <c r="G120" s="53">
        <f>SUM(G116:G119)</f>
        <v>-25493</v>
      </c>
      <c r="H120" s="53">
        <f t="shared" ref="H120:I120" si="26">SUM(H116:H119)</f>
        <v>-51797</v>
      </c>
      <c r="I120" s="53">
        <f t="shared" si="26"/>
        <v>-63158</v>
      </c>
      <c r="J120" s="62">
        <f>SUM(J116:J119)</f>
        <v>-80348.024031622801</v>
      </c>
      <c r="K120" s="62">
        <f>SUM(K116:K119)</f>
        <v>-94644.491364942805</v>
      </c>
      <c r="L120" s="40"/>
      <c r="M120" s="40"/>
      <c r="N120" s="40"/>
      <c r="O120" s="40"/>
      <c r="P120" s="40"/>
      <c r="Q120" s="29"/>
      <c r="R120" s="17"/>
      <c r="S120" s="5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spans="1:32" outlineLevel="1">
      <c r="G121" s="48"/>
      <c r="H121" s="48"/>
      <c r="I121" s="48"/>
      <c r="J121" s="48"/>
      <c r="K121" s="48"/>
      <c r="L121" s="14"/>
      <c r="M121" s="14"/>
      <c r="N121" s="14"/>
      <c r="O121" s="14"/>
      <c r="P121" s="14"/>
      <c r="Q121" s="29"/>
      <c r="S121" s="22"/>
    </row>
    <row r="122" spans="1:32" outlineLevel="1">
      <c r="A122" s="17"/>
      <c r="B122" s="17" t="s">
        <v>84</v>
      </c>
      <c r="C122" s="17"/>
      <c r="D122" s="17"/>
      <c r="E122" s="17"/>
      <c r="F122" s="17"/>
      <c r="G122" s="54">
        <f>SUM(G104,G114,G120)</f>
        <v>-2098</v>
      </c>
      <c r="H122" s="54">
        <f t="shared" ref="H122" si="27">SUM(H104,H114,H120)</f>
        <v>2172</v>
      </c>
      <c r="I122" s="54">
        <f>SUM(I104,I114,I120)</f>
        <v>1858</v>
      </c>
      <c r="J122" s="59">
        <f>SUM(J120,J114,J104)</f>
        <v>1252.6736511100316</v>
      </c>
      <c r="K122" s="59">
        <f>SUM(K120,K114,K104)</f>
        <v>7000.0095871454687</v>
      </c>
      <c r="L122" s="40"/>
      <c r="M122" s="40"/>
      <c r="N122" s="40"/>
      <c r="O122" s="40"/>
      <c r="P122" s="40"/>
      <c r="Q122" s="29"/>
      <c r="R122" s="17"/>
      <c r="S122" s="5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spans="1:32" outlineLevel="1">
      <c r="B123" s="13" t="s">
        <v>83</v>
      </c>
      <c r="G123" s="48">
        <v>12226</v>
      </c>
      <c r="H123" s="48">
        <f>G125</f>
        <v>10719</v>
      </c>
      <c r="I123" s="48">
        <f>H125</f>
        <v>12653</v>
      </c>
      <c r="J123" s="59">
        <f>I125</f>
        <v>14392</v>
      </c>
      <c r="K123" s="59">
        <f>J125</f>
        <v>15554.673651110032</v>
      </c>
      <c r="L123" s="14"/>
      <c r="M123" s="14"/>
      <c r="N123" s="14"/>
      <c r="O123" s="14"/>
      <c r="P123" s="14"/>
      <c r="Q123" s="29"/>
      <c r="S123" s="22"/>
    </row>
    <row r="124" spans="1:32" outlineLevel="1">
      <c r="B124" s="13" t="s">
        <v>159</v>
      </c>
      <c r="G124" s="48">
        <v>591</v>
      </c>
      <c r="H124" s="48">
        <v>-238</v>
      </c>
      <c r="I124" s="48">
        <v>-119</v>
      </c>
      <c r="J124" s="59">
        <v>-90</v>
      </c>
      <c r="K124" s="59">
        <f>J124</f>
        <v>-90</v>
      </c>
      <c r="L124" s="14"/>
      <c r="M124" s="14"/>
      <c r="N124" s="14"/>
      <c r="O124" s="14"/>
      <c r="P124" s="14"/>
      <c r="Q124" s="29"/>
      <c r="S124" s="22"/>
    </row>
    <row r="125" spans="1:32" ht="14" outlineLevel="1" thickBot="1">
      <c r="A125" s="17"/>
      <c r="B125" s="17" t="s">
        <v>82</v>
      </c>
      <c r="C125" s="17"/>
      <c r="D125" s="17"/>
      <c r="E125" s="17"/>
      <c r="F125" s="17"/>
      <c r="G125" s="55">
        <f>SUM(G122:G124)</f>
        <v>10719</v>
      </c>
      <c r="H125" s="55">
        <f>SUM(H122:H124)</f>
        <v>12653</v>
      </c>
      <c r="I125" s="55">
        <f>SUM(I122:I124)</f>
        <v>14392</v>
      </c>
      <c r="J125" s="63">
        <f>SUM(J122:J124)</f>
        <v>15554.673651110032</v>
      </c>
      <c r="K125" s="63">
        <f>SUM(K122:K124)</f>
        <v>22464.6832382555</v>
      </c>
      <c r="L125" s="40"/>
      <c r="M125" s="40"/>
      <c r="N125" s="40"/>
      <c r="O125" s="40"/>
      <c r="P125" s="40"/>
      <c r="Q125" s="29"/>
      <c r="R125" s="17"/>
      <c r="S125" s="5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spans="1:32" outlineLevel="1"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29"/>
      <c r="S126" s="22"/>
    </row>
    <row r="127" spans="1:32"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S127" s="22"/>
    </row>
    <row r="128" spans="1:32" ht="14">
      <c r="B128" s="28" t="s">
        <v>81</v>
      </c>
      <c r="C128" s="26"/>
      <c r="D128" s="26"/>
      <c r="E128" s="26"/>
      <c r="F128" s="26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6"/>
      <c r="R128" s="24"/>
      <c r="S128" s="25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2:19" ht="14">
      <c r="B129" s="23" t="s">
        <v>80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S129" s="22"/>
    </row>
    <row r="130" spans="2:19">
      <c r="G130" s="14"/>
      <c r="H130" s="14"/>
      <c r="I130" s="14"/>
      <c r="J130" s="14"/>
      <c r="K130" s="14"/>
      <c r="L130" s="14"/>
      <c r="M130" s="14"/>
      <c r="N130" s="14"/>
      <c r="O130" s="14"/>
      <c r="P130" s="14"/>
    </row>
    <row r="131" spans="2:19">
      <c r="C131" s="16" t="s">
        <v>79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</row>
    <row r="132" spans="2:19">
      <c r="C132" s="13" t="s">
        <v>120</v>
      </c>
      <c r="G132" s="48">
        <v>140800</v>
      </c>
      <c r="H132" s="48">
        <v>176954</v>
      </c>
      <c r="I132" s="48">
        <v>232261</v>
      </c>
      <c r="J132" s="48">
        <f>J137*(I136+1)</f>
        <v>287792.06023201166</v>
      </c>
      <c r="K132" s="48">
        <f>J132*(1+K133)</f>
        <v>356574.36262746243</v>
      </c>
      <c r="L132" s="14"/>
      <c r="M132" s="14"/>
      <c r="N132" s="14"/>
      <c r="O132" s="14"/>
      <c r="P132" s="14"/>
    </row>
    <row r="133" spans="2:19" ht="16">
      <c r="C133" s="13" t="s">
        <v>162</v>
      </c>
      <c r="G133" s="14"/>
      <c r="H133" s="15">
        <f>(H132-G132)/G132</f>
        <v>0.25677556818181818</v>
      </c>
      <c r="I133" s="15">
        <f>(I132-H132)/H132</f>
        <v>0.31255015427738281</v>
      </c>
      <c r="J133" s="15">
        <f>(J132-I132)/I132</f>
        <v>0.2390890430679781</v>
      </c>
      <c r="K133" s="15">
        <v>0.23899999999999999</v>
      </c>
      <c r="L133" s="15"/>
      <c r="M133" s="15" t="s">
        <v>163</v>
      </c>
      <c r="N133" s="15"/>
      <c r="O133" s="15"/>
      <c r="P133" s="15"/>
      <c r="Q133" s="15">
        <f>Q132-P132</f>
        <v>0</v>
      </c>
    </row>
    <row r="134" spans="2:19"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 spans="2:19">
      <c r="C135" s="13" t="s">
        <v>164</v>
      </c>
      <c r="G135" s="14"/>
      <c r="H135" s="14"/>
      <c r="I135" s="48">
        <v>107667</v>
      </c>
      <c r="J135" s="14"/>
      <c r="K135" s="14"/>
      <c r="L135" s="14"/>
      <c r="M135" s="14"/>
      <c r="N135" s="14"/>
      <c r="O135" s="14"/>
      <c r="P135" s="14"/>
    </row>
    <row r="136" spans="2:19" ht="16">
      <c r="C136" s="13" t="s">
        <v>165</v>
      </c>
      <c r="G136" s="14"/>
      <c r="H136" s="15"/>
      <c r="I136" s="15">
        <f>(I132-I135)/I135</f>
        <v>1.1572162315286949</v>
      </c>
      <c r="J136" s="15"/>
      <c r="K136" s="15"/>
      <c r="L136" s="15"/>
      <c r="M136" s="15"/>
      <c r="N136" s="15"/>
      <c r="O136" s="15"/>
      <c r="P136" s="15"/>
    </row>
    <row r="137" spans="2:19" ht="16">
      <c r="C137" s="13" t="s">
        <v>166</v>
      </c>
      <c r="G137" s="14"/>
      <c r="H137" s="15"/>
      <c r="I137" s="15"/>
      <c r="J137" s="9">
        <v>133409</v>
      </c>
      <c r="K137" s="15"/>
      <c r="L137" s="15"/>
      <c r="M137" s="15"/>
      <c r="N137" s="15"/>
      <c r="O137" s="15"/>
      <c r="P137" s="15"/>
    </row>
    <row r="138" spans="2:19" ht="16">
      <c r="G138" s="14"/>
      <c r="H138" s="15"/>
      <c r="I138" s="15"/>
      <c r="J138" s="9"/>
      <c r="K138" s="15"/>
      <c r="L138" s="15"/>
      <c r="M138" s="15"/>
      <c r="N138" s="15"/>
      <c r="O138" s="15"/>
      <c r="P138" s="15"/>
    </row>
    <row r="139" spans="2:19" ht="16">
      <c r="C139" s="17" t="s">
        <v>116</v>
      </c>
      <c r="G139" s="14"/>
      <c r="H139" s="15"/>
      <c r="I139" s="15"/>
      <c r="J139" s="9"/>
      <c r="K139" s="15"/>
      <c r="L139" s="15"/>
      <c r="M139" s="15"/>
      <c r="N139" s="15"/>
      <c r="O139" s="15"/>
      <c r="P139" s="15"/>
    </row>
    <row r="140" spans="2:19" ht="16">
      <c r="C140" s="13" t="s">
        <v>167</v>
      </c>
      <c r="G140" s="65">
        <v>58644</v>
      </c>
      <c r="H140" s="65">
        <v>74809</v>
      </c>
      <c r="I140" s="65">
        <v>102574</v>
      </c>
      <c r="J140" s="67">
        <f>J22</f>
        <v>120449.07622289954</v>
      </c>
      <c r="K140" s="66">
        <f>K22</f>
        <v>152276.10323915683</v>
      </c>
      <c r="L140" s="15"/>
      <c r="M140" s="15"/>
      <c r="N140" s="15"/>
      <c r="O140" s="15"/>
      <c r="P140" s="15"/>
    </row>
    <row r="141" spans="2:19" ht="16">
      <c r="C141" s="13" t="s">
        <v>168</v>
      </c>
      <c r="G141" s="14"/>
      <c r="H141" s="15">
        <f>(H140-G140)/G140</f>
        <v>0.27564627242343631</v>
      </c>
      <c r="I141" s="15">
        <f>(I140-H140)/H140</f>
        <v>0.37114518306620858</v>
      </c>
      <c r="J141" s="15">
        <f>(J140-I140)/I140</f>
        <v>0.17426517658373022</v>
      </c>
      <c r="K141" s="15">
        <f>(J141+20%)/2</f>
        <v>0.18713258829186513</v>
      </c>
      <c r="L141" s="15"/>
      <c r="M141" s="15"/>
      <c r="N141" s="15"/>
      <c r="O141" s="15"/>
      <c r="P141" s="15"/>
    </row>
    <row r="142" spans="2:19" ht="16">
      <c r="G142" s="14"/>
      <c r="H142" s="15"/>
      <c r="I142" s="15"/>
      <c r="J142" s="9"/>
      <c r="K142" s="15"/>
      <c r="L142" s="15"/>
      <c r="M142" s="15"/>
      <c r="N142" s="15"/>
      <c r="O142" s="15"/>
      <c r="P142" s="15"/>
    </row>
    <row r="143" spans="2:19" ht="16">
      <c r="C143" s="13" t="s">
        <v>164</v>
      </c>
      <c r="G143" s="14"/>
      <c r="H143" s="15"/>
      <c r="I143" s="66">
        <v>48895</v>
      </c>
      <c r="J143" s="9"/>
      <c r="K143" s="15"/>
      <c r="L143" s="15"/>
      <c r="M143" s="15"/>
      <c r="N143" s="15"/>
      <c r="O143" s="15"/>
      <c r="P143" s="15"/>
    </row>
    <row r="144" spans="2:19" ht="16">
      <c r="C144" s="13" t="s">
        <v>165</v>
      </c>
      <c r="G144" s="14"/>
      <c r="H144" s="15"/>
      <c r="I144" s="15">
        <f>(I140-I143)/I143</f>
        <v>1.0978423151651497</v>
      </c>
      <c r="J144" s="9"/>
      <c r="K144" s="15"/>
      <c r="L144" s="15"/>
      <c r="M144" s="15"/>
      <c r="N144" s="15"/>
      <c r="O144" s="15"/>
      <c r="P144" s="15"/>
    </row>
    <row r="145" spans="3:17" ht="16">
      <c r="C145" s="13" t="s">
        <v>166</v>
      </c>
      <c r="G145" s="14"/>
      <c r="H145" s="15"/>
      <c r="I145" s="15"/>
      <c r="J145" s="67">
        <v>57780</v>
      </c>
      <c r="K145" s="15"/>
      <c r="L145" s="15"/>
      <c r="M145" s="15"/>
      <c r="N145" s="15"/>
      <c r="O145" s="15"/>
      <c r="P145" s="15"/>
    </row>
    <row r="146" spans="3:17">
      <c r="C146" s="16"/>
      <c r="G146" s="14"/>
      <c r="H146" s="14"/>
      <c r="I146" s="14"/>
      <c r="J146" s="14"/>
      <c r="K146" s="14"/>
      <c r="L146" s="14"/>
      <c r="M146" s="14"/>
      <c r="N146" s="14"/>
      <c r="O146" s="14"/>
      <c r="P146" s="14"/>
    </row>
    <row r="148" spans="3:17">
      <c r="G148" s="14"/>
      <c r="H148" s="14"/>
      <c r="I148" s="14"/>
      <c r="J148" s="14"/>
      <c r="K148" s="14"/>
      <c r="L148" s="14"/>
      <c r="M148" s="14"/>
      <c r="N148" s="14"/>
      <c r="O148" s="14"/>
      <c r="P148" s="14"/>
    </row>
    <row r="149" spans="3:17">
      <c r="C149" s="16"/>
      <c r="G149" s="14"/>
      <c r="H149" s="14"/>
      <c r="I149" s="14"/>
      <c r="J149" s="14"/>
      <c r="K149" s="14"/>
      <c r="L149" s="14"/>
      <c r="M149" s="14"/>
      <c r="N149" s="14"/>
      <c r="O149" s="14"/>
      <c r="P149" s="14"/>
    </row>
    <row r="150" spans="3:17">
      <c r="C150" s="16" t="s">
        <v>78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</row>
    <row r="151" spans="3:17" ht="16">
      <c r="C151" s="13" t="s">
        <v>77</v>
      </c>
      <c r="G151" s="15">
        <f>-G10/G9</f>
        <v>0.14188920454545453</v>
      </c>
      <c r="H151" s="15">
        <f>-H10/H9</f>
        <v>0.13773636086214497</v>
      </c>
      <c r="I151" s="15">
        <f>-I10/I9</f>
        <v>0.13267401759227765</v>
      </c>
      <c r="J151" s="15">
        <f>AVERAGE(H151:I151)</f>
        <v>0.13520518922721131</v>
      </c>
      <c r="K151" s="15">
        <f>AVERAGE(I151:J151)</f>
        <v>0.13393960340974448</v>
      </c>
      <c r="L151" s="15"/>
      <c r="M151" s="15"/>
      <c r="N151" s="15"/>
      <c r="O151" s="15"/>
      <c r="P151" s="15"/>
    </row>
    <row r="152" spans="3:17" ht="16">
      <c r="C152" s="13" t="s">
        <v>76</v>
      </c>
      <c r="G152" s="15">
        <f>-G14/G9</f>
        <v>2.5944602272727272E-2</v>
      </c>
      <c r="H152" s="15">
        <f>-H14/H9</f>
        <v>2.2830792183279269E-2</v>
      </c>
      <c r="I152" s="15">
        <f>-I14/I9</f>
        <v>1.9202535079070528E-2</v>
      </c>
      <c r="J152" s="15">
        <v>1.7000000000000001E-2</v>
      </c>
      <c r="K152" s="15">
        <v>1.7000000000000001E-2</v>
      </c>
      <c r="L152" s="15" t="s">
        <v>185</v>
      </c>
      <c r="M152" s="15"/>
      <c r="N152" s="15"/>
      <c r="O152" s="15"/>
      <c r="P152" s="15"/>
      <c r="Q152" s="15">
        <f>(P152+O152)/2</f>
        <v>0</v>
      </c>
    </row>
    <row r="153" spans="3:17" ht="16">
      <c r="C153" s="13" t="s">
        <v>75</v>
      </c>
      <c r="G153" s="15">
        <f>-G15/G9</f>
        <v>0.25965909090909089</v>
      </c>
      <c r="H153" s="15">
        <f>-H15/H9</f>
        <v>0.25859262859274162</v>
      </c>
      <c r="I153" s="15">
        <f>-I15/I9</f>
        <v>0.24209832903500803</v>
      </c>
      <c r="J153" s="15">
        <v>0.21</v>
      </c>
      <c r="K153" s="15">
        <f>J153</f>
        <v>0.21</v>
      </c>
      <c r="L153" s="15" t="s">
        <v>185</v>
      </c>
      <c r="M153" s="15" t="s">
        <v>186</v>
      </c>
      <c r="N153" s="15"/>
      <c r="O153" s="15"/>
      <c r="P153" s="15"/>
    </row>
    <row r="154" spans="3:17" ht="16">
      <c r="C154" s="13" t="s">
        <v>169</v>
      </c>
      <c r="G154" s="15">
        <f>-G16/G9</f>
        <v>0.11571022727272727</v>
      </c>
      <c r="H154" s="15">
        <f>-H16/H9</f>
        <v>0.12297546254958916</v>
      </c>
      <c r="I154" s="15">
        <f>-I16/I9</f>
        <v>0.12646548495012078</v>
      </c>
      <c r="J154" s="15">
        <v>0.17</v>
      </c>
      <c r="K154" s="15">
        <f>J154</f>
        <v>0.17</v>
      </c>
      <c r="L154" s="15" t="s">
        <v>195</v>
      </c>
      <c r="M154" s="15"/>
      <c r="N154" s="15"/>
      <c r="O154" s="15"/>
      <c r="P154" s="15"/>
    </row>
    <row r="155" spans="3:17" ht="16">
      <c r="C155" s="13" t="s">
        <v>170</v>
      </c>
      <c r="G155" s="15">
        <f>G17/G9</f>
        <v>2.5000000000000001E-3</v>
      </c>
      <c r="H155" s="15">
        <f>H17/H9</f>
        <v>6.4988641115770202E-3</v>
      </c>
      <c r="I155" s="15">
        <f>I17/I9</f>
        <v>2.6005226878382508E-3</v>
      </c>
      <c r="J155" s="15">
        <f>AVERAGE(H155:I155)</f>
        <v>4.5496933997076355E-3</v>
      </c>
      <c r="K155" s="15">
        <f>AVERAGE(I155:J155)</f>
        <v>3.5751080437729432E-3</v>
      </c>
      <c r="L155" s="15"/>
      <c r="M155" s="15"/>
      <c r="N155" s="15"/>
      <c r="O155" s="15"/>
      <c r="P155" s="15"/>
    </row>
    <row r="156" spans="3:17" ht="16"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3:17">
      <c r="C157" s="19" t="s">
        <v>179</v>
      </c>
      <c r="G157" s="45">
        <v>-23658</v>
      </c>
      <c r="H157" s="45">
        <v>-28448</v>
      </c>
      <c r="I157" s="45">
        <v>-35765</v>
      </c>
    </row>
    <row r="158" spans="3:17">
      <c r="C158" s="17" t="s">
        <v>171</v>
      </c>
      <c r="G158" s="70">
        <v>3680</v>
      </c>
      <c r="H158" s="70">
        <v>4075</v>
      </c>
      <c r="I158" s="70">
        <v>4950</v>
      </c>
      <c r="J158" s="48"/>
      <c r="K158" s="48"/>
      <c r="L158" s="14"/>
      <c r="M158" s="14"/>
      <c r="N158" s="14"/>
      <c r="O158" s="14"/>
      <c r="P158" s="14"/>
    </row>
    <row r="159" spans="3:17">
      <c r="C159" s="13" t="s">
        <v>117</v>
      </c>
      <c r="G159" s="70">
        <v>397</v>
      </c>
      <c r="H159" s="70">
        <v>427</v>
      </c>
      <c r="I159" s="70">
        <v>395</v>
      </c>
      <c r="J159" s="14"/>
      <c r="K159" s="14"/>
      <c r="L159" s="14"/>
      <c r="M159" s="14"/>
      <c r="N159" s="14"/>
      <c r="O159" s="14"/>
      <c r="P159" s="14"/>
    </row>
    <row r="160" spans="3:17">
      <c r="C160" s="13" t="s">
        <v>127</v>
      </c>
      <c r="G160" s="70">
        <v>448</v>
      </c>
      <c r="H160" s="70">
        <v>458</v>
      </c>
      <c r="I160" s="70">
        <v>513</v>
      </c>
      <c r="J160" s="14"/>
      <c r="K160" s="14"/>
      <c r="L160" s="14"/>
      <c r="M160" s="14"/>
      <c r="N160" s="14"/>
      <c r="O160" s="14"/>
      <c r="P160" s="14"/>
    </row>
    <row r="161" spans="3:16">
      <c r="C161" s="13" t="s">
        <v>126</v>
      </c>
      <c r="G161" s="70">
        <v>1480</v>
      </c>
      <c r="H161" s="70">
        <v>2286</v>
      </c>
      <c r="I161" s="70">
        <v>3070</v>
      </c>
      <c r="J161" s="14"/>
      <c r="K161" s="14"/>
      <c r="L161" s="14"/>
      <c r="M161" s="14"/>
      <c r="N161" s="14"/>
      <c r="O161" s="14"/>
      <c r="P161" s="14"/>
    </row>
    <row r="162" spans="3:16">
      <c r="C162" s="13" t="s">
        <v>128</v>
      </c>
      <c r="G162" s="70">
        <v>-20</v>
      </c>
      <c r="H162" s="70">
        <v>-116</v>
      </c>
      <c r="I162" s="70">
        <v>-485</v>
      </c>
      <c r="J162" s="14"/>
      <c r="K162" s="14"/>
      <c r="L162" s="14"/>
      <c r="M162" s="14"/>
      <c r="N162" s="14"/>
      <c r="O162" s="14"/>
      <c r="P162" s="14"/>
    </row>
    <row r="164" spans="3:16">
      <c r="C164" s="16" t="s">
        <v>180</v>
      </c>
      <c r="G164" s="48">
        <f>-SUM(G158:G161)+G162</f>
        <v>-6025</v>
      </c>
      <c r="H164" s="48">
        <f>-SUM(H158:H161)+H162</f>
        <v>-7362</v>
      </c>
      <c r="I164" s="48">
        <f>-SUM(I158:I161)+I162</f>
        <v>-9413</v>
      </c>
      <c r="J164" s="14"/>
      <c r="K164" s="14"/>
      <c r="L164" s="14"/>
      <c r="M164" s="14"/>
      <c r="N164" s="14"/>
      <c r="O164" s="14"/>
      <c r="P164" s="14"/>
    </row>
    <row r="165" spans="3:16">
      <c r="C165" s="13" t="s">
        <v>172</v>
      </c>
      <c r="G165" s="45">
        <v>-4386</v>
      </c>
      <c r="H165" s="45">
        <v>-5003</v>
      </c>
      <c r="I165" s="45">
        <v>-6165</v>
      </c>
      <c r="J165" s="48">
        <f>-J168*J200</f>
        <v>-8315.5561352453515</v>
      </c>
      <c r="K165" s="48">
        <f>-K168*K200</f>
        <v>-10746.174252306209</v>
      </c>
      <c r="L165" s="14"/>
      <c r="M165" s="14"/>
      <c r="N165" s="14"/>
      <c r="O165" s="14"/>
      <c r="P165" s="14"/>
    </row>
    <row r="166" spans="3:16">
      <c r="C166" s="13" t="s">
        <v>173</v>
      </c>
      <c r="G166" s="45">
        <v>-1639</v>
      </c>
      <c r="H166" s="45">
        <v>-2359</v>
      </c>
      <c r="I166" s="45">
        <v>-3248</v>
      </c>
      <c r="J166" s="48">
        <f>J208</f>
        <v>-3558.3410922842986</v>
      </c>
      <c r="K166" s="48">
        <f>K208</f>
        <v>-4069.634456492096</v>
      </c>
      <c r="L166" s="14"/>
      <c r="M166" s="14"/>
      <c r="N166" s="14"/>
      <c r="O166" s="14"/>
      <c r="P166" s="14"/>
    </row>
    <row r="167" spans="3:16">
      <c r="J167" s="48"/>
      <c r="K167" s="48"/>
    </row>
    <row r="168" spans="3:16">
      <c r="C168" s="13" t="s">
        <v>181</v>
      </c>
      <c r="G168" s="14"/>
      <c r="H168" s="21">
        <f>-H165/H200</f>
        <v>9.036884505617572E-2</v>
      </c>
      <c r="I168" s="21">
        <f>-I165/I200</f>
        <v>9.2468989515681485E-2</v>
      </c>
      <c r="J168" s="74">
        <f>AVERAGE(H168:I168)</f>
        <v>9.1418917285928603E-2</v>
      </c>
      <c r="K168" s="74">
        <f>AVERAGE(I168:J168)</f>
        <v>9.1943953400805051E-2</v>
      </c>
      <c r="L168" s="14"/>
      <c r="M168" s="14"/>
      <c r="N168" s="14"/>
      <c r="O168" s="14"/>
      <c r="P168" s="14"/>
    </row>
    <row r="169" spans="3:16">
      <c r="C169" s="13" t="s">
        <v>183</v>
      </c>
      <c r="G169" s="14"/>
      <c r="H169" s="21">
        <f>-H166/G209</f>
        <v>5.4643163234578768E-2</v>
      </c>
      <c r="I169" s="21">
        <f>-I166/H209</f>
        <v>6.3170997354908984E-2</v>
      </c>
      <c r="J169" s="74">
        <f>AVERAGE(H169:I169)</f>
        <v>5.8907080294743876E-2</v>
      </c>
      <c r="K169" s="74">
        <f>J169</f>
        <v>5.8907080294743876E-2</v>
      </c>
      <c r="L169" s="14"/>
      <c r="M169" s="14"/>
      <c r="N169" s="14"/>
      <c r="O169" s="14"/>
      <c r="P169" s="14"/>
    </row>
    <row r="170" spans="3:16" ht="16">
      <c r="G170" s="14"/>
      <c r="J170" s="15"/>
      <c r="K170" s="14"/>
      <c r="L170" s="14"/>
      <c r="M170" s="14"/>
      <c r="N170" s="14"/>
      <c r="O170" s="14"/>
      <c r="P170" s="14"/>
    </row>
    <row r="171" spans="3:16">
      <c r="C171" s="16" t="s">
        <v>74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</row>
    <row r="172" spans="3:16">
      <c r="C172" s="17" t="s">
        <v>73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</row>
    <row r="173" spans="3:16" ht="16">
      <c r="C173" s="13" t="s">
        <v>71</v>
      </c>
      <c r="G173" s="14">
        <f>G9/G38</f>
        <v>3.4643111975001846</v>
      </c>
      <c r="H173" s="14">
        <f t="shared" ref="H173:I173" si="28">H9/H38</f>
        <v>3.4998813291139239</v>
      </c>
      <c r="I173" s="14">
        <f t="shared" si="28"/>
        <v>3.5859348463794967</v>
      </c>
      <c r="J173" s="20">
        <f t="shared" ref="J173:K179" si="29">AVERAGE(H173:I173)</f>
        <v>3.5429080877467101</v>
      </c>
      <c r="K173" s="20">
        <f t="shared" si="29"/>
        <v>3.5644214670631031</v>
      </c>
      <c r="L173" s="20"/>
      <c r="M173" s="20"/>
      <c r="N173" s="20"/>
      <c r="O173" s="20"/>
      <c r="P173" s="20"/>
    </row>
    <row r="174" spans="3:16" ht="16">
      <c r="C174" s="13" t="s">
        <v>200</v>
      </c>
      <c r="G174" s="14">
        <f>G9/G39</f>
        <v>125.82663092046469</v>
      </c>
      <c r="H174" s="14">
        <f t="shared" ref="H174:I174" si="30">H9/H39</f>
        <v>188.24893617021277</v>
      </c>
      <c r="I174" s="14">
        <f t="shared" si="30"/>
        <v>95.856789104416009</v>
      </c>
      <c r="J174" s="20">
        <f t="shared" si="29"/>
        <v>142.05286263731438</v>
      </c>
      <c r="K174" s="20">
        <f t="shared" si="29"/>
        <v>118.95482587086519</v>
      </c>
      <c r="L174" s="20"/>
      <c r="M174" s="20"/>
      <c r="N174" s="20"/>
      <c r="O174" s="20"/>
      <c r="P174" s="20"/>
    </row>
    <row r="175" spans="3:16" ht="16">
      <c r="C175" s="13" t="s">
        <v>70</v>
      </c>
      <c r="G175" s="14">
        <f>G9/G40</f>
        <v>27.953146714314077</v>
      </c>
      <c r="H175" s="14">
        <f t="shared" ref="H175:I175" si="31">H9/H40</f>
        <v>29.467776852622816</v>
      </c>
      <c r="I175" s="14">
        <f t="shared" si="31"/>
        <v>28.787927615270203</v>
      </c>
      <c r="J175" s="20">
        <f t="shared" si="29"/>
        <v>29.127852233946509</v>
      </c>
      <c r="K175" s="20">
        <f t="shared" si="29"/>
        <v>28.957889924608356</v>
      </c>
      <c r="L175" s="20"/>
      <c r="M175" s="20"/>
      <c r="N175" s="20"/>
      <c r="O175" s="20"/>
      <c r="P175" s="20"/>
    </row>
    <row r="176" spans="3:16" ht="16">
      <c r="C176" s="13" t="s">
        <v>69</v>
      </c>
      <c r="G176" s="14">
        <f>-G10/G41</f>
        <v>1.0181947912950411</v>
      </c>
      <c r="H176" s="14">
        <f t="shared" ref="H176:I176" si="32">-H10/H41</f>
        <v>0.99938494341479411</v>
      </c>
      <c r="I176" s="14">
        <f t="shared" si="32"/>
        <v>0.96869007575995725</v>
      </c>
      <c r="J176" s="20">
        <f t="shared" si="29"/>
        <v>0.98403750958737568</v>
      </c>
      <c r="K176" s="20">
        <f t="shared" si="29"/>
        <v>0.97636379267366646</v>
      </c>
      <c r="L176" s="20"/>
      <c r="M176" s="20"/>
      <c r="N176" s="20"/>
      <c r="O176" s="20"/>
      <c r="P176" s="20"/>
    </row>
    <row r="177" spans="3:18" ht="16">
      <c r="C177" s="13" t="s">
        <v>68</v>
      </c>
      <c r="G177" s="14">
        <f>-G10/G57</f>
        <v>2.2523111612175875</v>
      </c>
      <c r="H177" s="14">
        <f t="shared" ref="H177:I177" si="33">-H10/H57</f>
        <v>1.5636748572528389</v>
      </c>
      <c r="I177" s="14">
        <f t="shared" si="33"/>
        <v>1.2034288838553464</v>
      </c>
      <c r="J177" s="20">
        <f t="shared" si="29"/>
        <v>1.3835518705540926</v>
      </c>
      <c r="K177" s="20">
        <f t="shared" si="29"/>
        <v>1.2934903772047195</v>
      </c>
      <c r="L177" s="20"/>
      <c r="M177" s="20"/>
      <c r="N177" s="20"/>
      <c r="O177" s="20"/>
      <c r="P177" s="20"/>
    </row>
    <row r="178" spans="3:18" ht="16">
      <c r="C178" s="13" t="s">
        <v>201</v>
      </c>
      <c r="G178" s="14">
        <f>-G10/G58</f>
        <v>5.461454346637507</v>
      </c>
      <c r="H178" s="14">
        <f t="shared" ref="H178:I178" si="34">-H10/H58</f>
        <v>3.4371738823861233</v>
      </c>
      <c r="I178" s="14">
        <f t="shared" si="34"/>
        <v>4.330382237211917</v>
      </c>
      <c r="J178" s="20">
        <f t="shared" si="29"/>
        <v>3.8837780597990204</v>
      </c>
      <c r="K178" s="20">
        <f t="shared" si="29"/>
        <v>4.1070801485054691</v>
      </c>
      <c r="L178" s="20"/>
      <c r="M178" s="20"/>
      <c r="N178" s="20"/>
      <c r="O178" s="20"/>
      <c r="P178" s="20"/>
    </row>
    <row r="179" spans="3:18" ht="16">
      <c r="C179" s="13" t="s">
        <v>67</v>
      </c>
      <c r="G179" s="14">
        <f>-G10/G59</f>
        <v>1.0192857142857144</v>
      </c>
      <c r="H179" s="14">
        <f t="shared" ref="H179:I179" si="35">-H10/H59</f>
        <v>1.0324917393882911</v>
      </c>
      <c r="I179" s="14">
        <f t="shared" si="35"/>
        <v>1.0735063577773907</v>
      </c>
      <c r="J179" s="20">
        <f t="shared" si="29"/>
        <v>1.0529990485828409</v>
      </c>
      <c r="K179" s="20">
        <f t="shared" si="29"/>
        <v>1.0632527031801158</v>
      </c>
      <c r="L179" s="20"/>
      <c r="M179" s="20"/>
      <c r="N179" s="20"/>
      <c r="O179" s="20"/>
      <c r="P179" s="20"/>
    </row>
    <row r="180" spans="3:18">
      <c r="G180" s="14"/>
      <c r="H180" s="14"/>
      <c r="I180" s="14"/>
      <c r="J180" s="14"/>
      <c r="K180" s="14"/>
      <c r="L180" s="14"/>
      <c r="M180" s="14"/>
      <c r="N180" s="14"/>
      <c r="O180" s="14"/>
      <c r="P180" s="14"/>
    </row>
    <row r="181" spans="3:18">
      <c r="C181" s="17" t="s">
        <v>72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</row>
    <row r="182" spans="3:18">
      <c r="C182" s="13" t="s">
        <v>71</v>
      </c>
      <c r="G182" s="14">
        <f t="shared" ref="G182:G188" si="36">365/G173</f>
        <v>105.36004971590908</v>
      </c>
      <c r="H182" s="14">
        <f t="shared" ref="H182:K182" si="37">365/H173</f>
        <v>104.28925031364084</v>
      </c>
      <c r="I182" s="14">
        <f t="shared" si="37"/>
        <v>101.78656769754716</v>
      </c>
      <c r="J182" s="14">
        <f t="shared" si="37"/>
        <v>103.02271212238533</v>
      </c>
      <c r="K182" s="14">
        <f t="shared" si="37"/>
        <v>102.40090948075816</v>
      </c>
      <c r="L182" s="14"/>
      <c r="M182" s="14"/>
      <c r="N182" s="14"/>
      <c r="O182" s="14"/>
      <c r="P182" s="14"/>
    </row>
    <row r="183" spans="3:18">
      <c r="C183" s="13" t="s">
        <v>199</v>
      </c>
      <c r="G183" s="14">
        <f t="shared" si="36"/>
        <v>2.9008167613636364</v>
      </c>
      <c r="H183" s="14">
        <f t="shared" ref="H183:K183" si="38">365/H174</f>
        <v>1.938921979723544</v>
      </c>
      <c r="I183" s="14">
        <f t="shared" si="38"/>
        <v>3.8077636796534935</v>
      </c>
      <c r="J183" s="14">
        <f t="shared" si="38"/>
        <v>2.5694659947255576</v>
      </c>
      <c r="K183" s="14">
        <f t="shared" si="38"/>
        <v>3.0683916968298215</v>
      </c>
      <c r="L183" s="14"/>
      <c r="M183" s="14"/>
      <c r="N183" s="14"/>
      <c r="O183" s="14"/>
      <c r="P183" s="14"/>
    </row>
    <row r="184" spans="3:18">
      <c r="C184" s="13" t="s">
        <v>70</v>
      </c>
      <c r="G184" s="14">
        <f t="shared" si="36"/>
        <v>13.057563920454545</v>
      </c>
      <c r="H184" s="14">
        <f t="shared" ref="H184:K184" si="39">365/H175</f>
        <v>12.386411157702002</v>
      </c>
      <c r="I184" s="14">
        <f t="shared" si="39"/>
        <v>12.678925863575891</v>
      </c>
      <c r="J184" s="14">
        <f t="shared" si="39"/>
        <v>12.530961674359828</v>
      </c>
      <c r="K184" s="14">
        <f t="shared" si="39"/>
        <v>12.604509546457795</v>
      </c>
      <c r="L184" s="14"/>
      <c r="M184" s="14"/>
      <c r="N184" s="14"/>
      <c r="O184" s="14"/>
      <c r="P184" s="14"/>
    </row>
    <row r="185" spans="3:18">
      <c r="C185" s="13" t="s">
        <v>69</v>
      </c>
      <c r="G185" s="14">
        <f t="shared" si="36"/>
        <v>358.47757533286614</v>
      </c>
      <c r="H185" s="14">
        <f t="shared" ref="H185:K185" si="40">365/H176</f>
        <v>365.224633816108</v>
      </c>
      <c r="I185" s="14">
        <f t="shared" si="40"/>
        <v>376.79750121693979</v>
      </c>
      <c r="J185" s="14">
        <f t="shared" si="40"/>
        <v>370.92082003362958</v>
      </c>
      <c r="K185" s="14">
        <f t="shared" si="40"/>
        <v>373.8360667804846</v>
      </c>
      <c r="L185" s="14"/>
      <c r="M185" s="14"/>
      <c r="N185" s="14"/>
      <c r="O185" s="14"/>
      <c r="P185" s="14"/>
      <c r="Q185" s="14"/>
      <c r="R185" s="14"/>
    </row>
    <row r="186" spans="3:18">
      <c r="C186" s="13" t="s">
        <v>68</v>
      </c>
      <c r="G186" s="14">
        <f t="shared" si="36"/>
        <v>162.05576133747121</v>
      </c>
      <c r="H186" s="14">
        <f t="shared" ref="H186:K186" si="41">365/H177</f>
        <v>233.42448611168095</v>
      </c>
      <c r="I186" s="14">
        <f t="shared" si="41"/>
        <v>303.300016225864</v>
      </c>
      <c r="J186" s="14">
        <f t="shared" si="41"/>
        <v>263.8137447306712</v>
      </c>
      <c r="K186" s="14">
        <f t="shared" si="41"/>
        <v>282.18223067787989</v>
      </c>
      <c r="L186" s="14"/>
      <c r="M186" s="14"/>
      <c r="N186" s="14"/>
      <c r="O186" s="14"/>
      <c r="P186" s="14"/>
      <c r="Q186" s="14"/>
    </row>
    <row r="187" spans="3:18">
      <c r="C187" s="13" t="s">
        <v>201</v>
      </c>
      <c r="G187" s="14">
        <f t="shared" si="36"/>
        <v>66.832015216738412</v>
      </c>
      <c r="H187" s="14">
        <f t="shared" ref="H187:K187" si="42">365/H178</f>
        <v>106.19189266811635</v>
      </c>
      <c r="I187" s="14">
        <f t="shared" si="42"/>
        <v>84.288171345124127</v>
      </c>
      <c r="J187" s="14">
        <f t="shared" si="42"/>
        <v>93.980653471966988</v>
      </c>
      <c r="K187" s="14">
        <f t="shared" si="42"/>
        <v>88.87092211551321</v>
      </c>
      <c r="L187" s="14"/>
      <c r="M187" s="14"/>
      <c r="N187" s="14"/>
      <c r="O187" s="14"/>
      <c r="P187" s="14"/>
      <c r="Q187" s="14"/>
    </row>
    <row r="188" spans="3:18">
      <c r="C188" s="13" t="s">
        <v>67</v>
      </c>
      <c r="G188" s="14">
        <f t="shared" si="36"/>
        <v>358.09390329362299</v>
      </c>
      <c r="H188" s="14">
        <f t="shared" ref="H188:K188" si="43">365/H179</f>
        <v>353.51372420301152</v>
      </c>
      <c r="I188" s="14">
        <f t="shared" si="43"/>
        <v>340.00730163881229</v>
      </c>
      <c r="J188" s="14">
        <f t="shared" si="43"/>
        <v>346.62899315173024</v>
      </c>
      <c r="K188" s="14">
        <f t="shared" si="43"/>
        <v>343.28621870258132</v>
      </c>
      <c r="L188" s="14"/>
      <c r="M188" s="14"/>
      <c r="N188" s="14"/>
      <c r="O188" s="14"/>
      <c r="P188" s="14"/>
      <c r="Q188" s="14"/>
    </row>
    <row r="189" spans="3:18">
      <c r="C189" s="13" t="s">
        <v>66</v>
      </c>
      <c r="G189" s="14">
        <f>G182+G183+G184+G185-G186-G187</f>
        <v>250.90822917638377</v>
      </c>
      <c r="H189" s="14">
        <f t="shared" ref="H189:K189" si="44">H182+H183+H184+H185-H186-H187</f>
        <v>144.22283848737709</v>
      </c>
      <c r="I189" s="14">
        <f t="shared" si="44"/>
        <v>107.48257088672823</v>
      </c>
      <c r="J189" s="14">
        <f t="shared" si="44"/>
        <v>131.24956162246207</v>
      </c>
      <c r="K189" s="14">
        <f t="shared" si="44"/>
        <v>120.85672471113726</v>
      </c>
      <c r="L189" s="14"/>
      <c r="M189" s="14"/>
      <c r="N189" s="14"/>
      <c r="O189" s="14"/>
      <c r="P189" s="14"/>
    </row>
    <row r="190" spans="3:18">
      <c r="G190" s="14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3:18">
      <c r="C191" s="16" t="s">
        <v>65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3:18">
      <c r="C192" s="13" t="s">
        <v>60</v>
      </c>
      <c r="G192" s="14"/>
      <c r="H192" s="14">
        <f>G195</f>
        <v>72004</v>
      </c>
      <c r="I192" s="14">
        <f>H195</f>
        <v>80587</v>
      </c>
      <c r="J192" s="14">
        <f>I195</f>
        <v>104839</v>
      </c>
      <c r="K192" s="14">
        <f>J195</f>
        <v>155184.55970638292</v>
      </c>
      <c r="L192" s="14"/>
      <c r="M192" s="14"/>
      <c r="N192" s="14"/>
      <c r="O192" s="14"/>
      <c r="P192" s="14"/>
    </row>
    <row r="193" spans="3:17">
      <c r="C193" s="13" t="s">
        <v>64</v>
      </c>
      <c r="G193" s="14"/>
      <c r="H193" s="14"/>
      <c r="I193" s="14">
        <f>I32</f>
        <v>83683</v>
      </c>
      <c r="J193" s="14">
        <f>J32</f>
        <v>98716.783738005717</v>
      </c>
      <c r="K193" s="14">
        <f t="shared" ref="K193" si="45">K32</f>
        <v>124637.43072988561</v>
      </c>
      <c r="L193" s="14"/>
      <c r="M193" s="14"/>
      <c r="N193" s="14"/>
      <c r="O193" s="14"/>
      <c r="P193" s="14"/>
    </row>
    <row r="194" spans="3:17">
      <c r="C194" s="13" t="s">
        <v>63</v>
      </c>
      <c r="G194" s="14"/>
      <c r="H194" s="14">
        <f>H117</f>
        <v>-25303</v>
      </c>
      <c r="I194" s="14">
        <f>I117</f>
        <v>-31767</v>
      </c>
      <c r="J194" s="14">
        <f>-J193*J197</f>
        <v>-48371.224031622798</v>
      </c>
      <c r="K194" s="14">
        <f>-K193*K197</f>
        <v>-62318.715364942807</v>
      </c>
      <c r="L194" s="14"/>
      <c r="M194" s="14"/>
      <c r="N194" s="14"/>
      <c r="O194" s="14"/>
      <c r="P194" s="14"/>
    </row>
    <row r="195" spans="3:17">
      <c r="C195" s="13" t="s">
        <v>48</v>
      </c>
      <c r="G195" s="14">
        <f>G77</f>
        <v>72004</v>
      </c>
      <c r="H195" s="14">
        <f>H77</f>
        <v>80587</v>
      </c>
      <c r="I195" s="14">
        <f>I77</f>
        <v>104839</v>
      </c>
      <c r="J195" s="14">
        <f>SUM(J192:J194)</f>
        <v>155184.55970638292</v>
      </c>
      <c r="K195" s="14">
        <f>SUM(K192:K194)</f>
        <v>217503.27507132571</v>
      </c>
      <c r="L195" s="14"/>
      <c r="M195" s="14"/>
      <c r="N195" s="14"/>
      <c r="O195" s="14"/>
      <c r="P195" s="14"/>
    </row>
    <row r="196" spans="3:17">
      <c r="G196" s="14"/>
      <c r="J196" s="14"/>
      <c r="K196" s="14"/>
      <c r="L196" s="14"/>
      <c r="M196" s="14"/>
      <c r="N196" s="14"/>
      <c r="O196" s="14"/>
      <c r="P196" s="14"/>
    </row>
    <row r="197" spans="3:17">
      <c r="C197" s="13" t="s">
        <v>62</v>
      </c>
      <c r="G197" s="74">
        <f>-G117/G32</f>
        <v>0.45055175157568522</v>
      </c>
      <c r="H197" s="74">
        <f>-H117/H32</f>
        <v>0.45570463755065288</v>
      </c>
      <c r="I197" s="74">
        <f>-I117/I32</f>
        <v>0.37961115160785347</v>
      </c>
      <c r="J197" s="74">
        <v>0.49</v>
      </c>
      <c r="K197" s="74">
        <v>0.5</v>
      </c>
      <c r="L197" s="14"/>
      <c r="M197" s="14"/>
      <c r="N197" s="14"/>
      <c r="O197" s="14"/>
      <c r="P197" s="14"/>
      <c r="Q197" s="14"/>
    </row>
    <row r="198" spans="3:17"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 spans="3:17">
      <c r="C199" s="16" t="s">
        <v>61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</row>
    <row r="200" spans="3:17">
      <c r="C200" s="13" t="s">
        <v>60</v>
      </c>
      <c r="G200" s="14"/>
      <c r="H200" s="48">
        <f>G46</f>
        <v>55362</v>
      </c>
      <c r="I200" s="48">
        <f>H203</f>
        <v>66671</v>
      </c>
      <c r="J200" s="48">
        <f>I203</f>
        <v>90961</v>
      </c>
      <c r="K200" s="48">
        <f>J203</f>
        <v>116877.44386475465</v>
      </c>
      <c r="L200" s="14"/>
      <c r="M200" s="14"/>
      <c r="N200" s="14"/>
      <c r="O200" s="14"/>
      <c r="P200" s="14"/>
    </row>
    <row r="201" spans="3:17">
      <c r="C201" s="13" t="s">
        <v>59</v>
      </c>
      <c r="G201" s="48">
        <v>6335</v>
      </c>
      <c r="H201" s="48">
        <f>H203-H200-H202</f>
        <v>16312</v>
      </c>
      <c r="I201" s="48">
        <f>I203-I200-I202</f>
        <v>30455</v>
      </c>
      <c r="J201" s="48">
        <v>34232</v>
      </c>
      <c r="K201" s="48">
        <v>49122</v>
      </c>
      <c r="L201" s="14"/>
      <c r="M201" s="14"/>
      <c r="N201" s="14"/>
      <c r="O201" s="14"/>
      <c r="P201" s="14"/>
    </row>
    <row r="202" spans="3:17">
      <c r="C202" s="13" t="s">
        <v>284</v>
      </c>
      <c r="G202" s="14"/>
      <c r="H202" s="48">
        <f>H165</f>
        <v>-5003</v>
      </c>
      <c r="I202" s="48">
        <f>I165</f>
        <v>-6165</v>
      </c>
      <c r="J202" s="48">
        <f>J165</f>
        <v>-8315.5561352453515</v>
      </c>
      <c r="K202" s="48">
        <f>K165</f>
        <v>-10746.174252306209</v>
      </c>
      <c r="L202" s="14"/>
      <c r="M202" s="14"/>
      <c r="N202" s="14"/>
      <c r="O202" s="14"/>
      <c r="P202" s="14"/>
    </row>
    <row r="203" spans="3:17">
      <c r="C203" s="13" t="s">
        <v>48</v>
      </c>
      <c r="G203" s="14"/>
      <c r="H203" s="48">
        <f>H46</f>
        <v>66671</v>
      </c>
      <c r="I203" s="48">
        <f>I46</f>
        <v>90961</v>
      </c>
      <c r="J203" s="48">
        <f>SUM(J200:J202)</f>
        <v>116877.44386475465</v>
      </c>
      <c r="K203" s="48">
        <f>SUM(K200:K202)</f>
        <v>155253.26961244844</v>
      </c>
      <c r="L203" s="14"/>
      <c r="M203" s="14"/>
      <c r="N203" s="14"/>
      <c r="O203" s="14"/>
      <c r="P203" s="14"/>
    </row>
    <row r="204" spans="3:17">
      <c r="G204" s="14"/>
      <c r="H204" s="14"/>
      <c r="I204" s="14"/>
      <c r="J204" s="14"/>
      <c r="K204" s="14"/>
      <c r="L204" s="14"/>
      <c r="M204" s="14"/>
      <c r="N204" s="14"/>
      <c r="O204" s="14"/>
      <c r="P204" s="14"/>
    </row>
    <row r="205" spans="3:17">
      <c r="C205" s="16" t="s">
        <v>182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 spans="3:17">
      <c r="C206" s="13" t="s">
        <v>60</v>
      </c>
      <c r="G206" s="14"/>
      <c r="H206" s="14">
        <f>G209</f>
        <v>43171</v>
      </c>
      <c r="I206" s="14">
        <f>H209</f>
        <v>51416</v>
      </c>
      <c r="J206" s="14">
        <f>I209</f>
        <v>60406</v>
      </c>
      <c r="K206" s="14">
        <f>J209</f>
        <v>69085.658907715697</v>
      </c>
      <c r="L206" s="14"/>
      <c r="M206" s="14"/>
      <c r="N206" s="14"/>
      <c r="O206" s="14"/>
      <c r="P206" s="14"/>
    </row>
    <row r="207" spans="3:17">
      <c r="C207" s="13" t="s">
        <v>59</v>
      </c>
      <c r="G207" s="48"/>
      <c r="H207" s="48">
        <f>H209-H206-H208</f>
        <v>10604</v>
      </c>
      <c r="I207" s="48">
        <f>I209-I206-I208</f>
        <v>12238</v>
      </c>
      <c r="J207" s="48">
        <f>I207</f>
        <v>12238</v>
      </c>
      <c r="K207" s="48">
        <f>J207</f>
        <v>12238</v>
      </c>
      <c r="L207" s="14"/>
      <c r="M207" s="14"/>
      <c r="N207" s="14"/>
      <c r="O207" s="14"/>
      <c r="P207" s="14"/>
    </row>
    <row r="208" spans="3:17">
      <c r="C208" s="13" t="s">
        <v>58</v>
      </c>
      <c r="G208" s="48"/>
      <c r="H208" s="48">
        <f>H166</f>
        <v>-2359</v>
      </c>
      <c r="I208" s="48">
        <f>I166</f>
        <v>-3248</v>
      </c>
      <c r="J208" s="48">
        <f>-J169*J206</f>
        <v>-3558.3410922842986</v>
      </c>
      <c r="K208" s="48">
        <f>-K169*K206</f>
        <v>-4069.634456492096</v>
      </c>
      <c r="L208" s="14"/>
      <c r="M208" s="14"/>
      <c r="N208" s="14"/>
      <c r="O208" s="14"/>
      <c r="P208" s="14"/>
    </row>
    <row r="209" spans="3:17">
      <c r="C209" s="13" t="s">
        <v>48</v>
      </c>
      <c r="G209" s="48">
        <f>G47</f>
        <v>43171</v>
      </c>
      <c r="H209" s="48">
        <f>H47</f>
        <v>51416</v>
      </c>
      <c r="I209" s="48">
        <f>I47</f>
        <v>60406</v>
      </c>
      <c r="J209" s="48">
        <f>SUM(J206:J208)</f>
        <v>69085.658907715697</v>
      </c>
      <c r="K209" s="48">
        <f>SUM(K206:K208)</f>
        <v>77254.024451223595</v>
      </c>
      <c r="L209" s="14"/>
      <c r="M209" s="14"/>
      <c r="N209" s="14"/>
      <c r="O209" s="14"/>
      <c r="P209" s="14"/>
    </row>
    <row r="210" spans="3:17">
      <c r="G210" s="48"/>
      <c r="H210" s="48"/>
      <c r="I210" s="48"/>
      <c r="J210" s="48"/>
      <c r="K210" s="48"/>
      <c r="L210" s="14"/>
      <c r="M210" s="14"/>
      <c r="N210" s="14"/>
      <c r="O210" s="14"/>
      <c r="P210" s="14"/>
    </row>
    <row r="211" spans="3:17">
      <c r="C211" s="19" t="s">
        <v>57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</row>
    <row r="212" spans="3:17">
      <c r="C212" s="13" t="s">
        <v>56</v>
      </c>
      <c r="N212" s="14"/>
      <c r="O212" s="14"/>
      <c r="P212" s="14"/>
    </row>
    <row r="213" spans="3:17">
      <c r="C213" s="13" t="s">
        <v>52</v>
      </c>
      <c r="D213" s="13">
        <v>6</v>
      </c>
      <c r="J213" s="14"/>
      <c r="K213" s="14"/>
      <c r="L213" s="14"/>
      <c r="M213" s="14"/>
      <c r="N213" s="14"/>
      <c r="O213" s="14"/>
      <c r="P213" s="14"/>
    </row>
    <row r="214" spans="3:17">
      <c r="C214" s="13" t="s">
        <v>55</v>
      </c>
      <c r="D214" s="13">
        <v>10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</row>
    <row r="215" spans="3:17"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3:17">
      <c r="C216" s="19" t="s">
        <v>54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</row>
    <row r="217" spans="3:17">
      <c r="C217" s="13" t="s">
        <v>53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</row>
    <row r="218" spans="3:17">
      <c r="C218" s="13" t="s">
        <v>52</v>
      </c>
      <c r="D218" s="14">
        <f>H203</f>
        <v>66671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8"/>
    </row>
    <row r="219" spans="3:17">
      <c r="C219" s="13">
        <v>2019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3:17">
      <c r="C220" s="13">
        <v>2020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/>
    </row>
    <row r="221" spans="3:17">
      <c r="C221" s="13">
        <v>2021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/>
    </row>
    <row r="222" spans="3:17">
      <c r="C222" s="13">
        <v>2022</v>
      </c>
      <c r="D222" s="13">
        <v>23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</row>
    <row r="223" spans="3:17">
      <c r="C223" s="13">
        <v>2023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</row>
    <row r="224" spans="3:17">
      <c r="C224" s="13">
        <v>2024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3:18">
      <c r="C225" s="13">
        <v>2025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</row>
    <row r="226" spans="3:18">
      <c r="C226" s="13" t="s">
        <v>51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</row>
    <row r="227" spans="3:18">
      <c r="G227" s="14"/>
      <c r="H227" s="14"/>
      <c r="I227" s="14"/>
      <c r="J227" s="14"/>
      <c r="K227" s="14"/>
      <c r="L227" s="14"/>
      <c r="M227" s="14"/>
      <c r="N227" s="14"/>
      <c r="O227" s="14"/>
      <c r="P227" s="14"/>
    </row>
    <row r="228" spans="3:18" ht="16">
      <c r="C228" s="17" t="s">
        <v>50</v>
      </c>
      <c r="G228" s="15"/>
      <c r="H228" s="15"/>
      <c r="I228" s="15">
        <f>I31/I29</f>
        <v>-0.20053690505760743</v>
      </c>
      <c r="J228" s="15">
        <v>0.19</v>
      </c>
      <c r="K228" s="15">
        <v>0.19</v>
      </c>
      <c r="L228" t="s">
        <v>198</v>
      </c>
      <c r="M228" s="15"/>
      <c r="N228" s="15"/>
      <c r="O228" s="15"/>
      <c r="P228" s="15"/>
      <c r="Q228" s="15"/>
    </row>
    <row r="229" spans="3:18">
      <c r="G229" s="14"/>
      <c r="H229" s="14"/>
      <c r="I229" s="14"/>
      <c r="J229" s="14"/>
      <c r="K229" s="14"/>
      <c r="L229" s="14"/>
      <c r="M229" s="14"/>
      <c r="N229" s="14"/>
      <c r="O229" s="14"/>
      <c r="P229" s="14"/>
    </row>
    <row r="230" spans="3:18">
      <c r="C230" s="16" t="s">
        <v>49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</row>
    <row r="231" spans="3:18">
      <c r="C231" s="13" t="s">
        <v>48</v>
      </c>
      <c r="G231" s="14">
        <v>27734</v>
      </c>
      <c r="H231" s="14">
        <f>G234</f>
        <v>13684</v>
      </c>
      <c r="I231" s="14">
        <f>H234</f>
        <v>24318</v>
      </c>
      <c r="J231" s="48">
        <f>I234</f>
        <v>20528</v>
      </c>
      <c r="K231" s="14">
        <f>J234</f>
        <v>18475.2</v>
      </c>
      <c r="L231" s="14"/>
      <c r="M231" s="14"/>
      <c r="N231" s="14"/>
      <c r="O231" s="14"/>
      <c r="P231" s="14"/>
      <c r="Q231" s="14"/>
    </row>
    <row r="232" spans="3:18">
      <c r="C232" s="13" t="s">
        <v>47</v>
      </c>
      <c r="G232" s="14">
        <v>-7216</v>
      </c>
      <c r="H232" s="14">
        <v>-13624</v>
      </c>
      <c r="I232" s="14">
        <v>-1467</v>
      </c>
      <c r="J232" s="14">
        <f>-10%*J231</f>
        <v>-2052.8000000000002</v>
      </c>
      <c r="K232" s="14">
        <f>-13%*K231</f>
        <v>-2401.7760000000003</v>
      </c>
      <c r="L232" s="78" t="s">
        <v>197</v>
      </c>
      <c r="M232" s="14"/>
      <c r="N232" s="14"/>
      <c r="O232" s="14"/>
      <c r="P232" s="14"/>
    </row>
    <row r="233" spans="3:18">
      <c r="C233" s="13" t="s">
        <v>46</v>
      </c>
      <c r="G233" s="14"/>
      <c r="K233" s="14"/>
      <c r="L233" s="14"/>
      <c r="M233" s="14"/>
      <c r="N233" s="14"/>
      <c r="O233" s="14"/>
      <c r="P233" s="14"/>
    </row>
    <row r="234" spans="3:18">
      <c r="C234" s="13" t="s">
        <v>45</v>
      </c>
      <c r="G234" s="14">
        <f>G56</f>
        <v>13684</v>
      </c>
      <c r="H234" s="14">
        <f>H64</f>
        <v>24318</v>
      </c>
      <c r="I234" s="14">
        <f>I64</f>
        <v>20528</v>
      </c>
      <c r="J234" s="14">
        <f>SUM(J231:J232)</f>
        <v>18475.2</v>
      </c>
      <c r="K234" s="14">
        <f>SUM(K231:K232)</f>
        <v>16073.424000000001</v>
      </c>
      <c r="L234" s="14"/>
      <c r="M234" s="14"/>
      <c r="N234" s="14"/>
      <c r="O234" s="14"/>
      <c r="P234" s="14"/>
    </row>
    <row r="235" spans="3:18">
      <c r="G235" s="14"/>
      <c r="H235" s="14"/>
      <c r="I235" s="14"/>
      <c r="J235" s="14"/>
      <c r="K235" s="14"/>
      <c r="L235" s="14"/>
      <c r="M235" s="14"/>
      <c r="N235" s="14"/>
      <c r="O235" s="14"/>
      <c r="P235" s="14"/>
    </row>
    <row r="236" spans="3:18">
      <c r="C236" s="13" t="s">
        <v>44</v>
      </c>
      <c r="G236" s="14">
        <f>AVERAGE(G231,G234)</f>
        <v>20709</v>
      </c>
      <c r="H236" s="14">
        <f>AVERAGE(H231,H234)</f>
        <v>19001</v>
      </c>
      <c r="I236" s="14">
        <f t="shared" ref="I236:K236" si="46">AVERAGE(I231,I234)</f>
        <v>22423</v>
      </c>
      <c r="J236" s="14">
        <f t="shared" si="46"/>
        <v>19501.599999999999</v>
      </c>
      <c r="K236" s="14">
        <f t="shared" si="46"/>
        <v>17274.312000000002</v>
      </c>
      <c r="L236" s="14"/>
      <c r="M236" s="14"/>
      <c r="N236" s="14"/>
      <c r="O236" s="14"/>
      <c r="P236" s="14"/>
    </row>
    <row r="237" spans="3:18" ht="16">
      <c r="C237" s="13" t="s">
        <v>43</v>
      </c>
      <c r="G237" s="73">
        <f>G238/G236</f>
        <v>0.11835433869332175</v>
      </c>
      <c r="H237" s="74">
        <f>H238/H236</f>
        <v>0.3150360507341719</v>
      </c>
      <c r="I237" s="74">
        <f>I238/I236</f>
        <v>3.768452035856041E-2</v>
      </c>
      <c r="J237" s="15">
        <f>AVERAGE(G237,I237)</f>
        <v>7.8019429525941084E-2</v>
      </c>
      <c r="K237" s="15">
        <f>J237</f>
        <v>7.8019429525941084E-2</v>
      </c>
      <c r="L237" s="15"/>
      <c r="M237" s="15"/>
      <c r="N237" s="15"/>
      <c r="O237" s="15"/>
      <c r="P237" s="15"/>
      <c r="Q237" s="15"/>
    </row>
    <row r="238" spans="3:18">
      <c r="C238" s="13" t="s">
        <v>42</v>
      </c>
      <c r="G238" s="48">
        <v>2451</v>
      </c>
      <c r="H238" s="71">
        <f>-H28</f>
        <v>5986</v>
      </c>
      <c r="I238" s="48">
        <f>-I28</f>
        <v>845</v>
      </c>
      <c r="J238" s="48">
        <f>J237*J236</f>
        <v>1521.5037068430925</v>
      </c>
      <c r="K238" s="48">
        <f>K237*K236</f>
        <v>1347.7319676931186</v>
      </c>
      <c r="L238" s="14"/>
      <c r="M238" s="14"/>
      <c r="N238" s="14"/>
      <c r="O238" s="14"/>
      <c r="P238" s="14"/>
      <c r="Q238" s="14"/>
      <c r="R238" s="14"/>
    </row>
    <row r="239" spans="3:18">
      <c r="G239" s="14"/>
      <c r="H239" s="14"/>
      <c r="I239" s="14"/>
      <c r="J239" s="14"/>
      <c r="K239" s="14"/>
      <c r="L239" s="14"/>
      <c r="M239" s="14"/>
      <c r="N239" s="14"/>
      <c r="O239" s="14"/>
      <c r="P239" s="14"/>
    </row>
    <row r="240" spans="3:18">
      <c r="G240" s="14"/>
      <c r="H240" s="14"/>
      <c r="I240" s="14"/>
      <c r="J240" s="14"/>
      <c r="K240" s="14"/>
      <c r="L240" s="14"/>
      <c r="M240" s="14"/>
      <c r="N240" s="14"/>
      <c r="O240" s="14"/>
      <c r="P240" s="14"/>
    </row>
    <row r="241" spans="3:16">
      <c r="C241" s="13" t="s">
        <v>41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3:16">
      <c r="C242" s="13" t="s">
        <v>40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3:16">
      <c r="G243" s="14"/>
      <c r="H243" s="14"/>
      <c r="I243" s="14"/>
      <c r="J243" s="14"/>
      <c r="K243" s="14"/>
      <c r="L243" s="14"/>
      <c r="M243" s="14"/>
      <c r="N243" s="14"/>
      <c r="O243" s="14"/>
      <c r="P243" s="14"/>
    </row>
    <row r="244" spans="3:16">
      <c r="C244" s="13" t="s">
        <v>203</v>
      </c>
      <c r="G244" s="73">
        <f>G68/G38</f>
        <v>0.1076200083655242</v>
      </c>
      <c r="H244" s="73">
        <f t="shared" ref="H244:I244" si="47">H68/H38</f>
        <v>9.0783227848101264E-2</v>
      </c>
      <c r="I244" s="73">
        <f t="shared" si="47"/>
        <v>0.10265555040914004</v>
      </c>
      <c r="J244" s="73">
        <f>AVERAGE(H244:I244)</f>
        <v>9.6719389128620659E-2</v>
      </c>
      <c r="K244" s="73">
        <f>AVERAGE(I244:J244)</f>
        <v>9.9687469768880349E-2</v>
      </c>
      <c r="L244" s="14"/>
      <c r="M244" s="14"/>
      <c r="N244" s="14"/>
      <c r="O244" s="14"/>
      <c r="P244" s="14"/>
    </row>
    <row r="245" spans="3:16">
      <c r="G245" s="14"/>
      <c r="H245" s="14"/>
      <c r="I245" s="14"/>
      <c r="J245" s="14"/>
      <c r="K245" s="14"/>
      <c r="L245" s="14"/>
      <c r="M245" s="14"/>
      <c r="N245" s="14"/>
      <c r="O245" s="14"/>
      <c r="P245" s="14"/>
    </row>
    <row r="246" spans="3:16">
      <c r="G246" s="14"/>
      <c r="H246" s="14"/>
      <c r="I246" s="14"/>
      <c r="J246" s="14"/>
      <c r="K246" s="14"/>
      <c r="L246" s="14"/>
      <c r="M246" s="14"/>
      <c r="N246" s="14"/>
      <c r="O246" s="14"/>
      <c r="P246" s="14"/>
    </row>
    <row r="247" spans="3:16">
      <c r="G247" s="14"/>
      <c r="H247" s="14"/>
      <c r="I247" s="14"/>
      <c r="J247" s="14"/>
      <c r="K247" s="14"/>
      <c r="L247" s="14"/>
      <c r="M247" s="14"/>
      <c r="N247" s="14"/>
      <c r="O247" s="14"/>
      <c r="P247" s="14"/>
    </row>
    <row r="248" spans="3:16"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3:16">
      <c r="G249" s="14"/>
      <c r="H249" s="14"/>
      <c r="I249" s="14"/>
      <c r="J249" s="14"/>
      <c r="K249" s="14"/>
      <c r="L249" s="14"/>
      <c r="M249" s="14"/>
      <c r="N249" s="14"/>
      <c r="O249" s="14"/>
      <c r="P249" s="14"/>
    </row>
    <row r="250" spans="3:16">
      <c r="G250" s="14"/>
      <c r="H250" s="14"/>
      <c r="I250" s="14"/>
      <c r="J250" s="14"/>
      <c r="K250" s="14"/>
      <c r="L250" s="14"/>
      <c r="M250" s="14"/>
      <c r="N250" s="14"/>
      <c r="O250" s="14"/>
      <c r="P250" s="14"/>
    </row>
    <row r="251" spans="3:16"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3:16">
      <c r="G252" s="14"/>
      <c r="H252" s="14"/>
      <c r="I252" s="14"/>
      <c r="J252" s="14"/>
      <c r="K252" s="14"/>
      <c r="L252" s="14"/>
      <c r="M252" s="14"/>
      <c r="N252" s="14"/>
      <c r="O252" s="14"/>
      <c r="P252" s="14"/>
    </row>
    <row r="253" spans="3:16">
      <c r="G253" s="14"/>
      <c r="H253" s="14"/>
      <c r="I253" s="14"/>
      <c r="J253" s="14"/>
      <c r="K253" s="14"/>
      <c r="L253" s="14"/>
      <c r="M253" s="14"/>
      <c r="N253" s="14"/>
      <c r="O253" s="14"/>
      <c r="P253" s="14"/>
    </row>
    <row r="254" spans="3:16">
      <c r="G254" s="14"/>
      <c r="H254" s="14"/>
      <c r="I254" s="14"/>
      <c r="J254" s="14"/>
      <c r="K254" s="14"/>
      <c r="L254" s="14"/>
      <c r="M254" s="14"/>
      <c r="N254" s="14"/>
      <c r="O254" s="14"/>
      <c r="P254" s="14"/>
    </row>
    <row r="255" spans="3:16">
      <c r="G255" s="14"/>
      <c r="H255" s="14"/>
      <c r="I255" s="14"/>
      <c r="J255" s="14"/>
      <c r="K255" s="14"/>
      <c r="L255" s="14"/>
      <c r="M255" s="14"/>
      <c r="N255" s="14"/>
      <c r="O255" s="14"/>
      <c r="P255" s="14"/>
    </row>
    <row r="256" spans="3:16"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7:16">
      <c r="G257" s="14"/>
      <c r="H257" s="14"/>
      <c r="I257" s="14"/>
      <c r="J257" s="14"/>
      <c r="K257" s="14"/>
      <c r="L257" s="14"/>
      <c r="M257" s="14"/>
      <c r="N257" s="14"/>
      <c r="O257" s="14"/>
      <c r="P257" s="14"/>
    </row>
    <row r="258" spans="7:16">
      <c r="G258" s="14"/>
      <c r="H258" s="14"/>
      <c r="I258" s="14"/>
      <c r="J258" s="14"/>
      <c r="K258" s="14"/>
      <c r="L258" s="14"/>
      <c r="M258" s="14"/>
      <c r="N258" s="14"/>
      <c r="O258" s="14"/>
      <c r="P258" s="14"/>
    </row>
    <row r="259" spans="7:16">
      <c r="G259" s="14"/>
      <c r="H259" s="14"/>
      <c r="I259" s="14"/>
      <c r="J259" s="14"/>
      <c r="K259" s="14"/>
      <c r="L259" s="14"/>
      <c r="M259" s="14"/>
      <c r="N259" s="14"/>
      <c r="O259" s="14"/>
      <c r="P259" s="14"/>
    </row>
    <row r="260" spans="7:16"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7:16">
      <c r="G261" s="14"/>
      <c r="H261" s="14"/>
      <c r="I261" s="14"/>
      <c r="J261" s="14"/>
      <c r="K261" s="14"/>
      <c r="L261" s="14"/>
      <c r="M261" s="14"/>
      <c r="N261" s="14"/>
      <c r="O261" s="14"/>
      <c r="P261" s="14"/>
    </row>
    <row r="262" spans="7:16">
      <c r="G262" s="14"/>
      <c r="H262" s="14"/>
      <c r="I262" s="14"/>
      <c r="J262" s="14"/>
      <c r="K262" s="14"/>
      <c r="L262" s="14"/>
      <c r="M262" s="14"/>
      <c r="N262" s="14"/>
      <c r="O262" s="14"/>
      <c r="P262" s="14"/>
    </row>
    <row r="263" spans="7:16">
      <c r="G263" s="14"/>
      <c r="H263" s="14"/>
      <c r="I263" s="14"/>
      <c r="J263" s="14"/>
      <c r="K263" s="14"/>
      <c r="L263" s="14"/>
      <c r="M263" s="14"/>
      <c r="N263" s="14"/>
      <c r="O263" s="14"/>
      <c r="P263" s="14"/>
    </row>
    <row r="264" spans="7:16">
      <c r="G264" s="14"/>
      <c r="H264" s="14"/>
      <c r="I264" s="14"/>
      <c r="J264" s="14"/>
      <c r="K264" s="14"/>
      <c r="L264" s="14"/>
      <c r="M264" s="14"/>
      <c r="N264" s="14"/>
      <c r="O264" s="14"/>
      <c r="P264" s="14"/>
    </row>
    <row r="265" spans="7:16">
      <c r="G265" s="14"/>
      <c r="H265" s="14"/>
      <c r="I265" s="14"/>
      <c r="J265" s="14"/>
      <c r="K265" s="14"/>
      <c r="L265" s="14"/>
      <c r="M265" s="14"/>
      <c r="N265" s="14"/>
      <c r="O265" s="14"/>
      <c r="P265" s="14"/>
    </row>
    <row r="266" spans="7:16">
      <c r="G266" s="14"/>
      <c r="H266" s="14"/>
      <c r="I266" s="14"/>
      <c r="J266" s="14"/>
      <c r="K266" s="14"/>
      <c r="L266" s="14"/>
      <c r="M266" s="14"/>
      <c r="N266" s="14"/>
      <c r="O266" s="14"/>
      <c r="P266" s="14"/>
    </row>
    <row r="267" spans="7:16">
      <c r="G267" s="14"/>
      <c r="H267" s="14"/>
      <c r="I267" s="14"/>
      <c r="J267" s="14"/>
      <c r="K267" s="14"/>
      <c r="L267" s="14"/>
      <c r="M267" s="14"/>
      <c r="N267" s="14"/>
      <c r="O267" s="14"/>
      <c r="P267" s="14"/>
    </row>
    <row r="268" spans="7:16">
      <c r="G268" s="14"/>
      <c r="H268" s="14"/>
      <c r="I268" s="14"/>
      <c r="J268" s="14"/>
      <c r="K268" s="14"/>
      <c r="L268" s="14"/>
      <c r="M268" s="14"/>
      <c r="N268" s="14"/>
      <c r="O268" s="14"/>
      <c r="P268" s="14"/>
    </row>
    <row r="269" spans="7:16"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7:16">
      <c r="G270" s="14"/>
      <c r="H270" s="14"/>
      <c r="I270" s="14"/>
      <c r="J270" s="14"/>
      <c r="K270" s="14"/>
      <c r="L270" s="14"/>
      <c r="M270" s="14"/>
      <c r="N270" s="14"/>
      <c r="O270" s="14"/>
      <c r="P270" s="14"/>
    </row>
    <row r="271" spans="7:16">
      <c r="G271" s="14"/>
      <c r="H271" s="14"/>
      <c r="I271" s="14"/>
      <c r="J271" s="14"/>
      <c r="K271" s="14"/>
      <c r="L271" s="14"/>
      <c r="M271" s="14"/>
      <c r="N271" s="14"/>
      <c r="O271" s="14"/>
      <c r="P271" s="14"/>
    </row>
    <row r="272" spans="7:16"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7:16">
      <c r="G273" s="14"/>
      <c r="H273" s="14"/>
      <c r="I273" s="14"/>
      <c r="J273" s="14"/>
      <c r="K273" s="14"/>
      <c r="L273" s="14"/>
      <c r="M273" s="14"/>
      <c r="N273" s="14"/>
      <c r="O273" s="14"/>
      <c r="P273" s="14"/>
    </row>
    <row r="274" spans="7:16">
      <c r="G274" s="14"/>
      <c r="H274" s="14"/>
      <c r="I274" s="14"/>
      <c r="J274" s="14"/>
      <c r="K274" s="14"/>
      <c r="L274" s="14"/>
      <c r="M274" s="14"/>
      <c r="N274" s="14"/>
      <c r="O274" s="14"/>
      <c r="P274" s="14"/>
    </row>
    <row r="275" spans="7:16">
      <c r="G275" s="14"/>
      <c r="H275" s="14"/>
      <c r="I275" s="14"/>
      <c r="J275" s="14"/>
      <c r="K275" s="14"/>
      <c r="L275" s="14"/>
      <c r="M275" s="14"/>
      <c r="N275" s="14"/>
      <c r="O275" s="14"/>
      <c r="P275" s="14"/>
    </row>
    <row r="276" spans="7:16">
      <c r="G276" s="14"/>
      <c r="H276" s="14"/>
      <c r="I276" s="14"/>
      <c r="J276" s="14"/>
      <c r="K276" s="14"/>
      <c r="L276" s="14"/>
      <c r="M276" s="14"/>
      <c r="N276" s="14"/>
      <c r="O276" s="14"/>
      <c r="P276" s="14"/>
    </row>
    <row r="277" spans="7:16">
      <c r="G277" s="14"/>
      <c r="H277" s="14"/>
      <c r="I277" s="14"/>
      <c r="J277" s="14"/>
      <c r="K277" s="14"/>
      <c r="L277" s="14"/>
      <c r="M277" s="14"/>
      <c r="N277" s="14"/>
      <c r="O277" s="14"/>
      <c r="P277" s="14"/>
    </row>
    <row r="278" spans="7:16"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7:16">
      <c r="G279" s="14"/>
      <c r="H279" s="14"/>
      <c r="I279" s="14"/>
      <c r="J279" s="14"/>
      <c r="K279" s="14"/>
      <c r="L279" s="14"/>
      <c r="M279" s="14"/>
      <c r="N279" s="14"/>
      <c r="O279" s="14"/>
      <c r="P279" s="14"/>
    </row>
    <row r="280" spans="7:16">
      <c r="G280" s="14"/>
      <c r="H280" s="14"/>
      <c r="I280" s="14"/>
      <c r="J280" s="14"/>
      <c r="K280" s="14"/>
      <c r="L280" s="14"/>
      <c r="M280" s="14"/>
      <c r="N280" s="14"/>
      <c r="O280" s="14"/>
      <c r="P280" s="14"/>
    </row>
    <row r="281" spans="7:16">
      <c r="G281" s="14"/>
      <c r="H281" s="14"/>
      <c r="I281" s="14"/>
      <c r="J281" s="14"/>
      <c r="K281" s="14"/>
      <c r="L281" s="14"/>
      <c r="M281" s="14"/>
      <c r="N281" s="14"/>
      <c r="O281" s="14"/>
      <c r="P281" s="14"/>
    </row>
    <row r="282" spans="7:16">
      <c r="G282" s="14"/>
      <c r="H282" s="14"/>
      <c r="I282" s="14"/>
      <c r="J282" s="14"/>
      <c r="K282" s="14"/>
      <c r="L282" s="14"/>
      <c r="M282" s="14"/>
      <c r="N282" s="14"/>
      <c r="O282" s="14"/>
      <c r="P282" s="14"/>
    </row>
    <row r="283" spans="7:16">
      <c r="G283" s="14"/>
      <c r="H283" s="14"/>
      <c r="I283" s="14"/>
      <c r="J283" s="14"/>
      <c r="K283" s="14"/>
      <c r="L283" s="14"/>
      <c r="M283" s="14"/>
      <c r="N283" s="14"/>
      <c r="O283" s="14"/>
      <c r="P283" s="14"/>
    </row>
    <row r="284" spans="7:16">
      <c r="G284" s="14"/>
      <c r="H284" s="14"/>
      <c r="I284" s="14"/>
      <c r="J284" s="14"/>
      <c r="K284" s="14"/>
      <c r="L284" s="14"/>
      <c r="M284" s="14"/>
      <c r="N284" s="14"/>
      <c r="O284" s="14"/>
      <c r="P284" s="14"/>
    </row>
    <row r="285" spans="7:16">
      <c r="G285" s="14"/>
      <c r="H285" s="14"/>
      <c r="I285" s="14"/>
      <c r="J285" s="14"/>
      <c r="K285" s="14"/>
      <c r="L285" s="14"/>
      <c r="M285" s="14"/>
      <c r="N285" s="14"/>
      <c r="O285" s="14"/>
      <c r="P285" s="14"/>
    </row>
    <row r="286" spans="7:16">
      <c r="G286" s="14"/>
      <c r="H286" s="14"/>
      <c r="I286" s="14"/>
      <c r="J286" s="14"/>
      <c r="K286" s="14"/>
      <c r="L286" s="14"/>
      <c r="M286" s="14"/>
      <c r="N286" s="14"/>
      <c r="O286" s="14"/>
      <c r="P286" s="14"/>
    </row>
    <row r="287" spans="7:16"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7:16">
      <c r="G288" s="14"/>
      <c r="H288" s="14"/>
      <c r="I288" s="14"/>
      <c r="J288" s="14"/>
      <c r="K288" s="14"/>
      <c r="L288" s="14"/>
      <c r="M288" s="14"/>
      <c r="N288" s="14"/>
      <c r="O288" s="14"/>
      <c r="P288" s="14"/>
    </row>
    <row r="289" spans="7:16">
      <c r="G289" s="14"/>
      <c r="H289" s="14"/>
      <c r="I289" s="14"/>
      <c r="J289" s="14"/>
      <c r="K289" s="14"/>
      <c r="L289" s="14"/>
      <c r="M289" s="14"/>
      <c r="N289" s="14"/>
      <c r="O289" s="14"/>
      <c r="P289" s="14"/>
    </row>
    <row r="290" spans="7:16">
      <c r="G290" s="14"/>
      <c r="H290" s="14"/>
      <c r="I290" s="14"/>
      <c r="J290" s="14"/>
      <c r="K290" s="14"/>
      <c r="L290" s="14"/>
      <c r="M290" s="14"/>
      <c r="N290" s="14"/>
      <c r="O290" s="14"/>
      <c r="P290" s="14"/>
    </row>
    <row r="291" spans="7:16">
      <c r="G291" s="14"/>
      <c r="H291" s="14"/>
      <c r="I291" s="14"/>
      <c r="J291" s="14"/>
      <c r="K291" s="14"/>
      <c r="L291" s="14"/>
      <c r="M291" s="14"/>
      <c r="N291" s="14"/>
      <c r="O291" s="14"/>
      <c r="P291" s="14"/>
    </row>
    <row r="292" spans="7:16">
      <c r="G292" s="14"/>
      <c r="H292" s="14"/>
      <c r="I292" s="14"/>
      <c r="J292" s="14"/>
      <c r="K292" s="14"/>
      <c r="L292" s="14"/>
      <c r="M292" s="14"/>
      <c r="N292" s="14"/>
      <c r="O292" s="14"/>
      <c r="P292" s="14"/>
    </row>
    <row r="293" spans="7:16">
      <c r="G293" s="14"/>
      <c r="H293" s="14"/>
      <c r="I293" s="14"/>
      <c r="J293" s="14"/>
      <c r="K293" s="14"/>
      <c r="L293" s="14"/>
      <c r="M293" s="14"/>
      <c r="N293" s="14"/>
      <c r="O293" s="14"/>
      <c r="P293" s="14"/>
    </row>
    <row r="294" spans="7:16">
      <c r="G294" s="14"/>
      <c r="H294" s="14"/>
      <c r="I294" s="14"/>
      <c r="J294" s="14"/>
      <c r="K294" s="14"/>
      <c r="L294" s="14"/>
      <c r="M294" s="14"/>
      <c r="N294" s="14"/>
      <c r="O294" s="14"/>
      <c r="P294" s="14"/>
    </row>
    <row r="295" spans="7:16">
      <c r="G295" s="14"/>
      <c r="H295" s="14"/>
      <c r="I295" s="14"/>
      <c r="J295" s="14"/>
      <c r="K295" s="14"/>
      <c r="L295" s="14"/>
      <c r="M295" s="14"/>
      <c r="N295" s="14"/>
      <c r="O295" s="14"/>
      <c r="P295" s="14"/>
    </row>
    <row r="296" spans="7:16"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7:16">
      <c r="G297" s="14"/>
      <c r="H297" s="14"/>
      <c r="I297" s="14"/>
      <c r="J297" s="14"/>
      <c r="K297" s="14"/>
      <c r="L297" s="14"/>
      <c r="M297" s="14"/>
      <c r="N297" s="14"/>
      <c r="O297" s="14"/>
      <c r="P297" s="14"/>
    </row>
    <row r="298" spans="7:16">
      <c r="G298" s="14"/>
      <c r="H298" s="14"/>
      <c r="I298" s="14"/>
      <c r="J298" s="14"/>
      <c r="K298" s="14"/>
      <c r="L298" s="14"/>
      <c r="M298" s="14"/>
      <c r="N298" s="14"/>
      <c r="O298" s="14"/>
      <c r="P298" s="14"/>
    </row>
    <row r="299" spans="7:16">
      <c r="G299" s="14"/>
      <c r="H299" s="14"/>
      <c r="I299" s="14"/>
      <c r="J299" s="14"/>
      <c r="K299" s="14"/>
      <c r="L299" s="14"/>
      <c r="M299" s="14"/>
      <c r="N299" s="14"/>
      <c r="O299" s="14"/>
      <c r="P299" s="14"/>
    </row>
    <row r="300" spans="7:16">
      <c r="G300" s="14"/>
      <c r="H300" s="14"/>
      <c r="I300" s="14"/>
      <c r="J300" s="14"/>
      <c r="K300" s="14"/>
      <c r="L300" s="14"/>
      <c r="M300" s="14"/>
      <c r="N300" s="14"/>
      <c r="O300" s="14"/>
      <c r="P300" s="14"/>
    </row>
    <row r="301" spans="7:16" ht="12" customHeight="1">
      <c r="G301" s="14"/>
      <c r="H301" s="14"/>
      <c r="I301" s="14"/>
      <c r="J301" s="14"/>
      <c r="K301" s="14"/>
      <c r="L301" s="14"/>
      <c r="M301" s="14"/>
      <c r="N301" s="14"/>
      <c r="O301" s="14"/>
      <c r="P301" s="14"/>
    </row>
    <row r="302" spans="7:16">
      <c r="G302" s="14"/>
      <c r="H302" s="14"/>
      <c r="I302" s="14"/>
      <c r="J302" s="14"/>
      <c r="K302" s="14"/>
      <c r="L302" s="14"/>
      <c r="M302" s="14"/>
      <c r="N302" s="14"/>
      <c r="O302" s="14"/>
      <c r="P302" s="14"/>
    </row>
    <row r="303" spans="7:16">
      <c r="G303" s="14"/>
      <c r="H303" s="14"/>
      <c r="I303" s="14"/>
      <c r="J303" s="14"/>
      <c r="K303" s="14"/>
      <c r="L303" s="14"/>
      <c r="M303" s="14"/>
      <c r="N303" s="14"/>
      <c r="O303" s="14"/>
      <c r="P303" s="14"/>
    </row>
    <row r="304" spans="7:16">
      <c r="G304" s="14"/>
      <c r="H304" s="14"/>
      <c r="I304" s="14"/>
      <c r="J304" s="14"/>
      <c r="K304" s="14"/>
      <c r="L304" s="14"/>
      <c r="M304" s="14"/>
      <c r="N304" s="14"/>
      <c r="O304" s="14"/>
      <c r="P304" s="14"/>
    </row>
    <row r="305" spans="7:16"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7:16">
      <c r="G306" s="14"/>
      <c r="H306" s="14"/>
      <c r="I306" s="14"/>
      <c r="J306" s="14"/>
      <c r="K306" s="14"/>
      <c r="L306" s="14"/>
      <c r="M306" s="14"/>
      <c r="N306" s="14"/>
      <c r="O306" s="14"/>
      <c r="P306" s="14"/>
    </row>
    <row r="307" spans="7:16">
      <c r="G307" s="14"/>
      <c r="H307" s="14"/>
      <c r="I307" s="14"/>
      <c r="J307" s="14"/>
      <c r="K307" s="14"/>
      <c r="L307" s="14"/>
      <c r="M307" s="14"/>
      <c r="N307" s="14"/>
      <c r="O307" s="14"/>
      <c r="P307" s="14"/>
    </row>
    <row r="308" spans="7:16">
      <c r="G308" s="14"/>
      <c r="H308" s="14"/>
      <c r="I308" s="14"/>
      <c r="J308" s="14"/>
      <c r="K308" s="14"/>
      <c r="L308" s="14"/>
      <c r="M308" s="14"/>
      <c r="N308" s="14"/>
      <c r="O308" s="14"/>
      <c r="P308" s="14"/>
    </row>
    <row r="309" spans="7:16">
      <c r="G309" s="14"/>
      <c r="H309" s="14"/>
      <c r="I309" s="14"/>
      <c r="J309" s="14"/>
      <c r="K309" s="14"/>
      <c r="L309" s="14"/>
      <c r="M309" s="14"/>
      <c r="N309" s="14"/>
      <c r="O309" s="14"/>
      <c r="P309" s="14"/>
    </row>
    <row r="310" spans="7:16">
      <c r="G310" s="14"/>
      <c r="H310" s="14"/>
      <c r="I310" s="14"/>
      <c r="J310" s="14"/>
      <c r="K310" s="14"/>
      <c r="L310" s="14"/>
      <c r="M310" s="14"/>
      <c r="N310" s="14"/>
      <c r="O310" s="14"/>
      <c r="P310" s="14"/>
    </row>
    <row r="311" spans="7:16">
      <c r="G311" s="14"/>
      <c r="H311" s="14"/>
      <c r="I311" s="14"/>
      <c r="J311" s="14"/>
      <c r="K311" s="14"/>
      <c r="L311" s="14"/>
      <c r="M311" s="14"/>
      <c r="N311" s="14"/>
      <c r="O311" s="14"/>
      <c r="P311" s="14"/>
    </row>
    <row r="312" spans="7:16">
      <c r="G312" s="14"/>
      <c r="H312" s="14"/>
      <c r="I312" s="14"/>
      <c r="J312" s="14"/>
      <c r="K312" s="14"/>
      <c r="L312" s="14"/>
      <c r="M312" s="14"/>
      <c r="N312" s="14"/>
      <c r="O312" s="14"/>
      <c r="P312" s="14"/>
    </row>
    <row r="313" spans="7:16">
      <c r="G313" s="14"/>
      <c r="H313" s="14"/>
      <c r="I313" s="14"/>
      <c r="J313" s="14"/>
      <c r="K313" s="14"/>
      <c r="L313" s="14"/>
      <c r="M313" s="14"/>
      <c r="N313" s="14"/>
      <c r="O313" s="14"/>
      <c r="P313" s="14"/>
    </row>
    <row r="314" spans="7:16"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7:16">
      <c r="G315" s="14"/>
      <c r="H315" s="14"/>
      <c r="I315" s="14"/>
      <c r="J315" s="14"/>
      <c r="K315" s="14"/>
      <c r="L315" s="14"/>
      <c r="M315" s="14"/>
      <c r="N315" s="14"/>
      <c r="O315" s="14"/>
      <c r="P315" s="14"/>
    </row>
    <row r="316" spans="7:16">
      <c r="G316" s="14"/>
      <c r="H316" s="14"/>
      <c r="I316" s="14"/>
      <c r="J316" s="14"/>
      <c r="K316" s="14"/>
      <c r="L316" s="14"/>
      <c r="M316" s="14"/>
      <c r="N316" s="14"/>
      <c r="O316" s="14"/>
      <c r="P316" s="14"/>
    </row>
    <row r="317" spans="7:16">
      <c r="G317" s="14"/>
      <c r="H317" s="14"/>
      <c r="I317" s="14"/>
      <c r="J317" s="14"/>
      <c r="K317" s="14"/>
      <c r="L317" s="14"/>
      <c r="M317" s="14"/>
      <c r="N317" s="14"/>
      <c r="O317" s="14"/>
      <c r="P317" s="14"/>
    </row>
    <row r="318" spans="7:16">
      <c r="G318" s="14"/>
      <c r="H318" s="14"/>
      <c r="I318" s="14"/>
      <c r="J318" s="14"/>
      <c r="K318" s="14"/>
      <c r="L318" s="14"/>
      <c r="M318" s="14"/>
      <c r="N318" s="14"/>
      <c r="O318" s="14"/>
      <c r="P318" s="14"/>
    </row>
    <row r="319" spans="7:16">
      <c r="G319" s="14"/>
      <c r="H319" s="14"/>
      <c r="I319" s="14"/>
      <c r="J319" s="14"/>
      <c r="K319" s="14"/>
      <c r="L319" s="14"/>
      <c r="M319" s="14"/>
      <c r="N319" s="14"/>
      <c r="O319" s="14"/>
      <c r="P319" s="14"/>
    </row>
    <row r="320" spans="7:16">
      <c r="G320" s="14"/>
      <c r="H320" s="14"/>
      <c r="I320" s="14"/>
      <c r="J320" s="14"/>
      <c r="K320" s="14"/>
      <c r="L320" s="14"/>
      <c r="M320" s="14"/>
      <c r="N320" s="14"/>
      <c r="O320" s="14"/>
      <c r="P320" s="14"/>
    </row>
    <row r="321" spans="7:16">
      <c r="G321" s="14"/>
      <c r="H321" s="14"/>
      <c r="I321" s="14"/>
      <c r="J321" s="14"/>
      <c r="K321" s="14"/>
      <c r="L321" s="14"/>
      <c r="M321" s="14"/>
      <c r="N321" s="14"/>
      <c r="O321" s="14"/>
      <c r="P321" s="14"/>
    </row>
    <row r="322" spans="7:16">
      <c r="G322" s="14"/>
      <c r="H322" s="14"/>
      <c r="I322" s="14"/>
      <c r="J322" s="14"/>
      <c r="K322" s="14"/>
      <c r="L322" s="14"/>
      <c r="M322" s="14"/>
      <c r="N322" s="14"/>
      <c r="O322" s="14"/>
      <c r="P322" s="14"/>
    </row>
    <row r="323" spans="7:16">
      <c r="G323" s="14"/>
      <c r="H323" s="14"/>
      <c r="I323" s="14"/>
      <c r="J323" s="14"/>
      <c r="K323" s="14"/>
      <c r="L323" s="14"/>
      <c r="M323" s="14"/>
      <c r="N323" s="14"/>
      <c r="O323" s="14"/>
      <c r="P323" s="14"/>
    </row>
    <row r="324" spans="7:16">
      <c r="G324" s="14"/>
      <c r="H324" s="14"/>
      <c r="I324" s="14"/>
      <c r="J324" s="14"/>
      <c r="K324" s="14"/>
      <c r="L324" s="14"/>
      <c r="M324" s="14"/>
      <c r="N324" s="14"/>
      <c r="O324" s="14"/>
      <c r="P324" s="14"/>
    </row>
    <row r="325" spans="7:16">
      <c r="G325" s="14"/>
      <c r="H325" s="14"/>
      <c r="I325" s="14"/>
      <c r="J325" s="14"/>
      <c r="K325" s="14"/>
      <c r="L325" s="14"/>
      <c r="M325" s="14"/>
      <c r="N325" s="14"/>
      <c r="O325" s="14"/>
      <c r="P325" s="14"/>
    </row>
    <row r="326" spans="7:16">
      <c r="G326" s="14"/>
      <c r="H326" s="14"/>
      <c r="I326" s="14"/>
      <c r="J326" s="14"/>
      <c r="K326" s="14"/>
      <c r="L326" s="14"/>
      <c r="M326" s="14"/>
      <c r="N326" s="14"/>
      <c r="O326" s="14"/>
      <c r="P326" s="14"/>
    </row>
    <row r="327" spans="7:16">
      <c r="G327" s="14"/>
      <c r="H327" s="14"/>
      <c r="I327" s="14"/>
      <c r="J327" s="14"/>
      <c r="K327" s="14"/>
      <c r="L327" s="14"/>
      <c r="M327" s="14"/>
      <c r="N327" s="14"/>
      <c r="O327" s="14"/>
      <c r="P327" s="14"/>
    </row>
    <row r="328" spans="7:16">
      <c r="G328" s="14"/>
      <c r="H328" s="14"/>
      <c r="I328" s="14"/>
      <c r="J328" s="14"/>
      <c r="K328" s="14"/>
      <c r="L328" s="14"/>
      <c r="M328" s="14"/>
      <c r="N328" s="14"/>
      <c r="O328" s="14"/>
      <c r="P328" s="14"/>
    </row>
    <row r="329" spans="7:16">
      <c r="G329" s="14"/>
      <c r="H329" s="14"/>
      <c r="I329" s="14"/>
      <c r="J329" s="14"/>
      <c r="K329" s="14"/>
      <c r="L329" s="14"/>
      <c r="M329" s="14"/>
      <c r="N329" s="14"/>
      <c r="O329" s="14"/>
      <c r="P329" s="14"/>
    </row>
    <row r="330" spans="7:16">
      <c r="G330" s="14"/>
      <c r="H330" s="14"/>
      <c r="I330" s="14"/>
      <c r="J330" s="14"/>
      <c r="K330" s="14"/>
      <c r="L330" s="14"/>
      <c r="M330" s="14"/>
      <c r="N330" s="14"/>
      <c r="O330" s="14"/>
      <c r="P330" s="14"/>
    </row>
    <row r="331" spans="7:16">
      <c r="G331" s="14"/>
      <c r="H331" s="14"/>
      <c r="I331" s="14"/>
      <c r="J331" s="14"/>
      <c r="K331" s="14"/>
      <c r="L331" s="14"/>
      <c r="M331" s="14"/>
      <c r="N331" s="14"/>
      <c r="O331" s="14"/>
      <c r="P331" s="14"/>
    </row>
    <row r="332" spans="7:16">
      <c r="G332" s="14"/>
      <c r="H332" s="14"/>
      <c r="I332" s="14"/>
      <c r="J332" s="14"/>
      <c r="K332" s="14"/>
      <c r="L332" s="14"/>
      <c r="M332" s="14"/>
      <c r="N332" s="14"/>
      <c r="O332" s="14"/>
      <c r="P332" s="14"/>
    </row>
    <row r="333" spans="7:16">
      <c r="G333" s="14"/>
      <c r="H333" s="14"/>
      <c r="I333" s="14"/>
      <c r="J333" s="14"/>
      <c r="K333" s="14"/>
      <c r="L333" s="14"/>
      <c r="M333" s="14"/>
      <c r="N333" s="14"/>
      <c r="O333" s="14"/>
      <c r="P333" s="14"/>
    </row>
    <row r="334" spans="7:16">
      <c r="G334" s="14"/>
      <c r="H334" s="14"/>
      <c r="I334" s="14"/>
      <c r="J334" s="14"/>
      <c r="K334" s="14"/>
      <c r="L334" s="14"/>
      <c r="M334" s="14"/>
      <c r="N334" s="14"/>
      <c r="O334" s="14"/>
      <c r="P334" s="14"/>
    </row>
    <row r="335" spans="7:16">
      <c r="G335" s="14"/>
      <c r="H335" s="14"/>
      <c r="I335" s="14"/>
      <c r="J335" s="14"/>
      <c r="K335" s="14"/>
      <c r="L335" s="14"/>
      <c r="M335" s="14"/>
      <c r="N335" s="14"/>
      <c r="O335" s="14"/>
      <c r="P335" s="14"/>
    </row>
    <row r="336" spans="7:16">
      <c r="G336" s="14"/>
      <c r="H336" s="14"/>
      <c r="I336" s="14"/>
      <c r="J336" s="14"/>
      <c r="K336" s="14"/>
      <c r="L336" s="14"/>
      <c r="M336" s="14"/>
      <c r="N336" s="14"/>
      <c r="O336" s="14"/>
      <c r="P336" s="14"/>
    </row>
    <row r="337" spans="7:16">
      <c r="G337" s="14"/>
      <c r="H337" s="14"/>
      <c r="I337" s="14"/>
      <c r="J337" s="14"/>
      <c r="K337" s="14"/>
      <c r="L337" s="14"/>
      <c r="M337" s="14"/>
      <c r="N337" s="14"/>
      <c r="O337" s="14"/>
      <c r="P337" s="14"/>
    </row>
    <row r="338" spans="7:16">
      <c r="G338" s="14"/>
      <c r="H338" s="14"/>
      <c r="I338" s="14"/>
      <c r="J338" s="14"/>
      <c r="K338" s="14"/>
      <c r="L338" s="14"/>
      <c r="M338" s="14"/>
      <c r="N338" s="14"/>
      <c r="O338" s="14"/>
      <c r="P338" s="14"/>
    </row>
    <row r="339" spans="7:16">
      <c r="G339" s="14"/>
      <c r="H339" s="14"/>
      <c r="I339" s="14"/>
      <c r="J339" s="14"/>
      <c r="K339" s="14"/>
      <c r="L339" s="14"/>
      <c r="M339" s="14"/>
      <c r="N339" s="14"/>
      <c r="O339" s="14"/>
      <c r="P339" s="14"/>
    </row>
    <row r="340" spans="7:16">
      <c r="G340" s="14"/>
      <c r="H340" s="14"/>
      <c r="I340" s="14"/>
      <c r="J340" s="14"/>
      <c r="K340" s="14"/>
      <c r="L340" s="14"/>
      <c r="M340" s="14"/>
      <c r="N340" s="14"/>
      <c r="O340" s="14"/>
      <c r="P340" s="14"/>
    </row>
    <row r="341" spans="7:16">
      <c r="G341" s="14"/>
      <c r="H341" s="14"/>
      <c r="I341" s="14"/>
      <c r="J341" s="14"/>
      <c r="K341" s="14"/>
      <c r="L341" s="14"/>
      <c r="M341" s="14"/>
      <c r="N341" s="14"/>
      <c r="O341" s="14"/>
      <c r="P341" s="14"/>
    </row>
    <row r="342" spans="7:16">
      <c r="G342" s="14"/>
      <c r="H342" s="14"/>
      <c r="I342" s="14"/>
      <c r="J342" s="14"/>
      <c r="K342" s="14"/>
      <c r="L342" s="14"/>
      <c r="M342" s="14"/>
      <c r="N342" s="14"/>
      <c r="O342" s="14"/>
      <c r="P342" s="14"/>
    </row>
    <row r="343" spans="7:16">
      <c r="G343" s="14"/>
      <c r="H343" s="14"/>
      <c r="I343" s="14"/>
      <c r="J343" s="14"/>
      <c r="K343" s="14"/>
      <c r="L343" s="14"/>
      <c r="M343" s="14"/>
      <c r="N343" s="14"/>
      <c r="O343" s="14"/>
      <c r="P343" s="14"/>
    </row>
    <row r="344" spans="7:16">
      <c r="G344" s="14"/>
      <c r="H344" s="14"/>
      <c r="I344" s="14"/>
      <c r="J344" s="14"/>
      <c r="K344" s="14"/>
      <c r="L344" s="14"/>
      <c r="M344" s="14"/>
      <c r="N344" s="14"/>
      <c r="O344" s="14"/>
      <c r="P344" s="14"/>
    </row>
    <row r="345" spans="7:16">
      <c r="G345" s="14"/>
      <c r="H345" s="14"/>
      <c r="I345" s="14"/>
      <c r="J345" s="14"/>
      <c r="K345" s="14"/>
      <c r="L345" s="14"/>
      <c r="M345" s="14"/>
      <c r="N345" s="14"/>
      <c r="O345" s="14"/>
      <c r="P345" s="14"/>
    </row>
    <row r="346" spans="7:16">
      <c r="G346" s="14"/>
      <c r="H346" s="14"/>
      <c r="I346" s="14"/>
      <c r="J346" s="14"/>
      <c r="K346" s="14"/>
      <c r="L346" s="14"/>
      <c r="M346" s="14"/>
      <c r="N346" s="14"/>
      <c r="O346" s="14"/>
      <c r="P346" s="14"/>
    </row>
    <row r="347" spans="7:16">
      <c r="G347" s="14"/>
      <c r="H347" s="14"/>
      <c r="I347" s="14"/>
      <c r="J347" s="14"/>
      <c r="K347" s="14"/>
      <c r="L347" s="14"/>
      <c r="M347" s="14"/>
      <c r="N347" s="14"/>
      <c r="O347" s="14"/>
      <c r="P347" s="14"/>
    </row>
    <row r="348" spans="7:16">
      <c r="G348" s="14"/>
      <c r="H348" s="14"/>
      <c r="I348" s="14"/>
      <c r="J348" s="14"/>
      <c r="K348" s="14"/>
      <c r="L348" s="14"/>
      <c r="M348" s="14"/>
      <c r="N348" s="14"/>
      <c r="O348" s="14"/>
      <c r="P348" s="14"/>
    </row>
    <row r="349" spans="7:16">
      <c r="G349" s="14"/>
      <c r="H349" s="14"/>
      <c r="I349" s="14"/>
      <c r="J349" s="14"/>
      <c r="K349" s="14"/>
      <c r="L349" s="14"/>
      <c r="M349" s="14"/>
      <c r="N349" s="14"/>
      <c r="O349" s="14"/>
      <c r="P349" s="14"/>
    </row>
    <row r="350" spans="7:16">
      <c r="G350" s="14"/>
      <c r="H350" s="14"/>
      <c r="I350" s="14"/>
      <c r="J350" s="14"/>
      <c r="K350" s="14"/>
      <c r="L350" s="14"/>
      <c r="M350" s="14"/>
      <c r="N350" s="14"/>
      <c r="O350" s="14"/>
      <c r="P350" s="14"/>
    </row>
    <row r="351" spans="7:16">
      <c r="G351" s="14"/>
      <c r="H351" s="14"/>
      <c r="I351" s="14"/>
      <c r="J351" s="14"/>
      <c r="K351" s="14"/>
      <c r="L351" s="14"/>
      <c r="M351" s="14"/>
      <c r="N351" s="14"/>
      <c r="O351" s="14"/>
      <c r="P351" s="14"/>
    </row>
    <row r="352" spans="7:16">
      <c r="G352" s="14"/>
      <c r="H352" s="14"/>
      <c r="I352" s="14"/>
      <c r="J352" s="14"/>
      <c r="K352" s="14"/>
      <c r="L352" s="14"/>
      <c r="M352" s="14"/>
      <c r="N352" s="14"/>
      <c r="O352" s="14"/>
      <c r="P352" s="14"/>
    </row>
    <row r="353" spans="7:16">
      <c r="G353" s="14"/>
      <c r="H353" s="14"/>
      <c r="I353" s="14"/>
      <c r="J353" s="14"/>
      <c r="K353" s="14"/>
      <c r="L353" s="14"/>
      <c r="M353" s="14"/>
      <c r="N353" s="14"/>
      <c r="O353" s="14"/>
      <c r="P353" s="14"/>
    </row>
    <row r="354" spans="7:16">
      <c r="G354" s="14"/>
      <c r="H354" s="14"/>
      <c r="I354" s="14"/>
      <c r="J354" s="14"/>
      <c r="K354" s="14"/>
      <c r="L354" s="14"/>
      <c r="M354" s="14"/>
      <c r="N354" s="14"/>
      <c r="O354" s="14"/>
      <c r="P354" s="14"/>
    </row>
    <row r="355" spans="7:16">
      <c r="G355" s="14"/>
      <c r="H355" s="14"/>
      <c r="I355" s="14"/>
      <c r="J355" s="14"/>
      <c r="K355" s="14"/>
      <c r="L355" s="14"/>
      <c r="M355" s="14"/>
      <c r="N355" s="14"/>
      <c r="O355" s="14"/>
      <c r="P355" s="14"/>
    </row>
    <row r="356" spans="7:16">
      <c r="G356" s="14"/>
      <c r="H356" s="14"/>
      <c r="I356" s="14"/>
      <c r="J356" s="14"/>
      <c r="K356" s="14"/>
      <c r="L356" s="14"/>
      <c r="M356" s="14"/>
      <c r="N356" s="14"/>
      <c r="O356" s="14"/>
      <c r="P356" s="14"/>
    </row>
    <row r="357" spans="7:16">
      <c r="G357" s="14"/>
      <c r="H357" s="14"/>
      <c r="I357" s="14"/>
      <c r="J357" s="14"/>
      <c r="K357" s="14"/>
      <c r="L357" s="14"/>
      <c r="M357" s="14"/>
      <c r="N357" s="14"/>
      <c r="O357" s="14"/>
      <c r="P357" s="14"/>
    </row>
    <row r="358" spans="7:16">
      <c r="G358" s="14"/>
      <c r="H358" s="14"/>
      <c r="I358" s="14"/>
      <c r="J358" s="14"/>
      <c r="K358" s="14"/>
      <c r="L358" s="14"/>
      <c r="M358" s="14"/>
      <c r="N358" s="14"/>
      <c r="O358" s="14"/>
      <c r="P358" s="14"/>
    </row>
    <row r="359" spans="7:16">
      <c r="G359" s="14"/>
      <c r="H359" s="14"/>
      <c r="I359" s="14"/>
      <c r="J359" s="14"/>
      <c r="K359" s="14"/>
      <c r="L359" s="14"/>
      <c r="M359" s="14"/>
      <c r="N359" s="14"/>
      <c r="O359" s="14"/>
      <c r="P359" s="14"/>
    </row>
    <row r="360" spans="7:16">
      <c r="G360" s="14"/>
      <c r="H360" s="14"/>
      <c r="I360" s="14"/>
      <c r="J360" s="14"/>
      <c r="K360" s="14"/>
      <c r="L360" s="14"/>
      <c r="M360" s="14"/>
      <c r="N360" s="14"/>
      <c r="O360" s="14"/>
      <c r="P360" s="14"/>
    </row>
    <row r="361" spans="7:16">
      <c r="G361" s="14"/>
      <c r="H361" s="14"/>
      <c r="I361" s="14"/>
      <c r="J361" s="14"/>
      <c r="K361" s="14"/>
      <c r="L361" s="14"/>
      <c r="M361" s="14"/>
      <c r="N361" s="14"/>
      <c r="O361" s="14"/>
      <c r="P361" s="14"/>
    </row>
    <row r="362" spans="7:16">
      <c r="G362" s="14"/>
      <c r="H362" s="14"/>
      <c r="I362" s="14"/>
      <c r="J362" s="14"/>
      <c r="K362" s="14"/>
      <c r="L362" s="14"/>
      <c r="M362" s="14"/>
      <c r="N362" s="14"/>
      <c r="O362" s="14"/>
      <c r="P362" s="14"/>
    </row>
    <row r="363" spans="7:16">
      <c r="G363" s="14"/>
      <c r="H363" s="14"/>
      <c r="I363" s="14"/>
      <c r="J363" s="14"/>
      <c r="K363" s="14"/>
      <c r="L363" s="14"/>
      <c r="M363" s="14"/>
      <c r="N363" s="14"/>
      <c r="O363" s="14"/>
      <c r="P363" s="14"/>
    </row>
    <row r="364" spans="7:16">
      <c r="G364" s="14"/>
      <c r="H364" s="14"/>
      <c r="I364" s="14"/>
      <c r="J364" s="14"/>
      <c r="K364" s="14"/>
      <c r="L364" s="14"/>
      <c r="M364" s="14"/>
      <c r="N364" s="14"/>
      <c r="O364" s="14"/>
      <c r="P364" s="14"/>
    </row>
    <row r="365" spans="7:16">
      <c r="G365" s="14"/>
      <c r="H365" s="14"/>
      <c r="I365" s="14"/>
      <c r="J365" s="14"/>
      <c r="K365" s="14"/>
      <c r="L365" s="14"/>
      <c r="M365" s="14"/>
      <c r="N365" s="14"/>
      <c r="O365" s="14"/>
      <c r="P365" s="14"/>
    </row>
    <row r="366" spans="7:16">
      <c r="G366" s="14"/>
      <c r="H366" s="14"/>
      <c r="I366" s="14"/>
      <c r="J366" s="14"/>
      <c r="K366" s="14"/>
      <c r="L366" s="14"/>
      <c r="M366" s="14"/>
      <c r="N366" s="14"/>
      <c r="O366" s="14"/>
      <c r="P366" s="14"/>
    </row>
    <row r="367" spans="7:16">
      <c r="G367" s="14"/>
      <c r="H367" s="14"/>
      <c r="I367" s="14"/>
      <c r="J367" s="14"/>
      <c r="K367" s="14"/>
      <c r="L367" s="14"/>
      <c r="M367" s="14"/>
      <c r="N367" s="14"/>
      <c r="O367" s="14"/>
      <c r="P367" s="14"/>
    </row>
    <row r="368" spans="7:16"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 spans="7:16">
      <c r="G369" s="14"/>
      <c r="H369" s="14"/>
      <c r="I369" s="14"/>
      <c r="J369" s="14"/>
      <c r="K369" s="14"/>
      <c r="L369" s="14"/>
      <c r="M369" s="14"/>
      <c r="N369" s="14"/>
      <c r="O369" s="14"/>
      <c r="P369" s="14"/>
    </row>
    <row r="370" spans="7:16">
      <c r="G370" s="14"/>
      <c r="H370" s="14"/>
      <c r="I370" s="14"/>
      <c r="J370" s="14"/>
      <c r="K370" s="14"/>
      <c r="L370" s="14"/>
      <c r="M370" s="14"/>
      <c r="N370" s="14"/>
      <c r="O370" s="14"/>
      <c r="P370" s="14"/>
    </row>
    <row r="371" spans="7:16">
      <c r="G371" s="14"/>
      <c r="H371" s="14"/>
      <c r="I371" s="14"/>
      <c r="J371" s="14"/>
      <c r="K371" s="14"/>
      <c r="L371" s="14"/>
      <c r="M371" s="14"/>
      <c r="N371" s="14"/>
      <c r="O371" s="14"/>
      <c r="P371" s="14"/>
    </row>
    <row r="372" spans="7:16">
      <c r="G372" s="14"/>
      <c r="H372" s="14"/>
      <c r="I372" s="14"/>
      <c r="J372" s="14"/>
      <c r="K372" s="14"/>
      <c r="L372" s="14"/>
      <c r="M372" s="14"/>
      <c r="N372" s="14"/>
      <c r="O372" s="14"/>
      <c r="P372" s="14"/>
    </row>
    <row r="373" spans="7:16">
      <c r="G373" s="14"/>
      <c r="H373" s="14"/>
      <c r="I373" s="14"/>
      <c r="J373" s="14"/>
      <c r="K373" s="14"/>
      <c r="L373" s="14"/>
      <c r="M373" s="14"/>
      <c r="N373" s="14"/>
      <c r="O373" s="14"/>
      <c r="P373" s="14"/>
    </row>
    <row r="374" spans="7:16">
      <c r="G374" s="14"/>
      <c r="H374" s="14"/>
      <c r="I374" s="14"/>
      <c r="J374" s="14"/>
      <c r="K374" s="14"/>
      <c r="L374" s="14"/>
      <c r="M374" s="14"/>
      <c r="N374" s="14"/>
      <c r="O374" s="14"/>
      <c r="P374" s="14"/>
    </row>
    <row r="375" spans="7:16">
      <c r="G375" s="14"/>
      <c r="H375" s="14"/>
      <c r="I375" s="14"/>
      <c r="J375" s="14"/>
      <c r="K375" s="14"/>
      <c r="L375" s="14"/>
      <c r="M375" s="14"/>
      <c r="N375" s="14"/>
      <c r="O375" s="14"/>
      <c r="P375" s="14"/>
    </row>
    <row r="376" spans="7:16">
      <c r="G376" s="14"/>
      <c r="H376" s="14"/>
      <c r="I376" s="14"/>
      <c r="J376" s="14"/>
      <c r="K376" s="14"/>
      <c r="L376" s="14"/>
      <c r="M376" s="14"/>
      <c r="N376" s="14"/>
      <c r="O376" s="14"/>
      <c r="P376" s="14"/>
    </row>
    <row r="377" spans="7:16">
      <c r="G377" s="14"/>
      <c r="H377" s="14"/>
      <c r="I377" s="14"/>
      <c r="J377" s="14"/>
      <c r="K377" s="14"/>
      <c r="L377" s="14"/>
      <c r="M377" s="14"/>
      <c r="N377" s="14"/>
      <c r="O377" s="14"/>
      <c r="P377" s="14"/>
    </row>
    <row r="378" spans="7:16">
      <c r="G378" s="14"/>
      <c r="H378" s="14"/>
      <c r="I378" s="14"/>
      <c r="J378" s="14"/>
      <c r="K378" s="14"/>
      <c r="L378" s="14"/>
      <c r="M378" s="14"/>
      <c r="N378" s="14"/>
      <c r="O378" s="14"/>
      <c r="P378" s="14"/>
    </row>
    <row r="379" spans="7:16">
      <c r="G379" s="14"/>
      <c r="H379" s="14"/>
      <c r="I379" s="14"/>
      <c r="J379" s="14"/>
      <c r="K379" s="14"/>
      <c r="L379" s="14"/>
      <c r="M379" s="14"/>
      <c r="N379" s="14"/>
      <c r="O379" s="14"/>
      <c r="P379" s="14"/>
    </row>
    <row r="380" spans="7:16">
      <c r="G380" s="14"/>
      <c r="H380" s="14"/>
      <c r="I380" s="14"/>
      <c r="J380" s="14"/>
      <c r="K380" s="14"/>
      <c r="L380" s="14"/>
      <c r="M380" s="14"/>
      <c r="N380" s="14"/>
      <c r="O380" s="14"/>
      <c r="P380" s="14"/>
    </row>
    <row r="381" spans="7:16">
      <c r="G381" s="14"/>
      <c r="H381" s="14"/>
      <c r="I381" s="14"/>
      <c r="J381" s="14"/>
      <c r="K381" s="14"/>
      <c r="L381" s="14"/>
      <c r="M381" s="14"/>
      <c r="N381" s="14"/>
      <c r="O381" s="14"/>
      <c r="P381" s="14"/>
    </row>
    <row r="382" spans="7:16">
      <c r="G382" s="14"/>
      <c r="H382" s="14"/>
      <c r="I382" s="14"/>
      <c r="J382" s="14"/>
      <c r="K382" s="14"/>
      <c r="L382" s="14"/>
      <c r="M382" s="14"/>
      <c r="N382" s="14"/>
      <c r="O382" s="14"/>
      <c r="P382" s="14"/>
    </row>
    <row r="383" spans="7:16">
      <c r="G383" s="14"/>
      <c r="H383" s="14"/>
      <c r="I383" s="14"/>
      <c r="J383" s="14"/>
      <c r="K383" s="14"/>
      <c r="L383" s="14"/>
      <c r="M383" s="14"/>
      <c r="N383" s="14"/>
      <c r="O383" s="14"/>
      <c r="P383" s="14"/>
    </row>
    <row r="384" spans="7:16">
      <c r="G384" s="14"/>
      <c r="H384" s="14"/>
      <c r="I384" s="14"/>
      <c r="J384" s="14"/>
      <c r="K384" s="14"/>
      <c r="L384" s="14"/>
      <c r="M384" s="14"/>
      <c r="N384" s="14"/>
      <c r="O384" s="14"/>
      <c r="P384" s="14"/>
    </row>
    <row r="385" spans="7:16">
      <c r="G385" s="14"/>
      <c r="H385" s="14"/>
      <c r="I385" s="14"/>
      <c r="J385" s="14"/>
      <c r="K385" s="14"/>
      <c r="L385" s="14"/>
      <c r="M385" s="14"/>
      <c r="N385" s="14"/>
      <c r="O385" s="14"/>
      <c r="P385" s="14"/>
    </row>
    <row r="386" spans="7:16">
      <c r="G386" s="14"/>
      <c r="H386" s="14"/>
      <c r="I386" s="14"/>
      <c r="J386" s="14"/>
      <c r="K386" s="14"/>
      <c r="L386" s="14"/>
      <c r="M386" s="14"/>
      <c r="N386" s="14"/>
      <c r="O386" s="14"/>
      <c r="P386" s="14"/>
    </row>
    <row r="387" spans="7:16">
      <c r="G387" s="14"/>
      <c r="H387" s="14"/>
      <c r="I387" s="14"/>
      <c r="J387" s="14"/>
      <c r="K387" s="14"/>
      <c r="L387" s="14"/>
      <c r="M387" s="14"/>
      <c r="N387" s="14"/>
      <c r="O387" s="14"/>
      <c r="P387" s="14"/>
    </row>
    <row r="388" spans="7:16">
      <c r="G388" s="14"/>
      <c r="H388" s="14"/>
      <c r="I388" s="14"/>
      <c r="J388" s="14"/>
      <c r="K388" s="14"/>
      <c r="L388" s="14"/>
      <c r="M388" s="14"/>
      <c r="N388" s="14"/>
      <c r="O388" s="14"/>
      <c r="P388" s="14"/>
    </row>
    <row r="389" spans="7:16">
      <c r="G389" s="14"/>
      <c r="H389" s="14"/>
      <c r="I389" s="14"/>
      <c r="J389" s="14"/>
      <c r="K389" s="14"/>
      <c r="L389" s="14"/>
      <c r="M389" s="14"/>
      <c r="N389" s="14"/>
      <c r="O389" s="14"/>
      <c r="P389" s="14"/>
    </row>
    <row r="390" spans="7:16">
      <c r="G390" s="14"/>
      <c r="H390" s="14"/>
      <c r="I390" s="14"/>
      <c r="J390" s="14"/>
      <c r="K390" s="14"/>
      <c r="L390" s="14"/>
      <c r="M390" s="14"/>
      <c r="N390" s="14"/>
      <c r="O390" s="14"/>
      <c r="P390" s="14"/>
    </row>
    <row r="391" spans="7:16">
      <c r="G391" s="14"/>
      <c r="H391" s="14"/>
      <c r="I391" s="14"/>
      <c r="J391" s="14"/>
      <c r="K391" s="14"/>
      <c r="L391" s="14"/>
      <c r="M391" s="14"/>
      <c r="N391" s="14"/>
      <c r="O391" s="14"/>
      <c r="P391" s="14"/>
    </row>
    <row r="392" spans="7:16">
      <c r="G392" s="14"/>
      <c r="H392" s="14"/>
      <c r="I392" s="14"/>
      <c r="J392" s="14"/>
      <c r="K392" s="14"/>
      <c r="L392" s="14"/>
      <c r="M392" s="14"/>
      <c r="N392" s="14"/>
      <c r="O392" s="14"/>
      <c r="P392" s="14"/>
    </row>
    <row r="393" spans="7:16">
      <c r="G393" s="14"/>
      <c r="H393" s="14"/>
      <c r="I393" s="14"/>
      <c r="J393" s="14"/>
      <c r="K393" s="14"/>
      <c r="L393" s="14"/>
      <c r="M393" s="14"/>
      <c r="N393" s="14"/>
      <c r="O393" s="14"/>
      <c r="P393" s="14"/>
    </row>
    <row r="394" spans="7:16">
      <c r="G394" s="14"/>
      <c r="H394" s="14"/>
      <c r="I394" s="14"/>
      <c r="J394" s="14"/>
      <c r="K394" s="14"/>
      <c r="L394" s="14"/>
      <c r="M394" s="14"/>
      <c r="N394" s="14"/>
      <c r="O394" s="14"/>
      <c r="P394" s="14"/>
    </row>
    <row r="395" spans="7:16">
      <c r="G395" s="14"/>
      <c r="H395" s="14"/>
      <c r="I395" s="14"/>
      <c r="J395" s="14"/>
      <c r="K395" s="14"/>
      <c r="L395" s="14"/>
      <c r="M395" s="14"/>
      <c r="N395" s="14"/>
      <c r="O395" s="14"/>
      <c r="P395" s="14"/>
    </row>
    <row r="396" spans="7:16">
      <c r="G396" s="14"/>
      <c r="H396" s="14"/>
      <c r="I396" s="14"/>
      <c r="J396" s="14"/>
      <c r="K396" s="14"/>
      <c r="L396" s="14"/>
      <c r="M396" s="14"/>
      <c r="N396" s="14"/>
      <c r="O396" s="14"/>
      <c r="P396" s="14"/>
    </row>
    <row r="397" spans="7:16">
      <c r="G397" s="14"/>
      <c r="H397" s="14"/>
      <c r="I397" s="14"/>
      <c r="J397" s="14"/>
      <c r="K397" s="14"/>
      <c r="L397" s="14"/>
      <c r="M397" s="14"/>
      <c r="N397" s="14"/>
      <c r="O397" s="14"/>
      <c r="P397" s="14"/>
    </row>
    <row r="398" spans="7:16">
      <c r="G398" s="14"/>
      <c r="H398" s="14"/>
      <c r="I398" s="14"/>
      <c r="J398" s="14"/>
      <c r="K398" s="14"/>
      <c r="L398" s="14"/>
      <c r="M398" s="14"/>
      <c r="N398" s="14"/>
      <c r="O398" s="14"/>
      <c r="P398" s="14"/>
    </row>
    <row r="399" spans="7:16">
      <c r="G399" s="14"/>
      <c r="H399" s="14"/>
      <c r="I399" s="14"/>
      <c r="J399" s="14"/>
      <c r="K399" s="14"/>
      <c r="L399" s="14"/>
      <c r="M399" s="14"/>
      <c r="N399" s="14"/>
      <c r="O399" s="14"/>
      <c r="P399" s="14"/>
    </row>
    <row r="400" spans="7:16">
      <c r="G400" s="14"/>
      <c r="H400" s="14"/>
      <c r="I400" s="14"/>
      <c r="J400" s="14"/>
      <c r="K400" s="14"/>
      <c r="L400" s="14"/>
      <c r="M400" s="14"/>
      <c r="N400" s="14"/>
      <c r="O400" s="14"/>
      <c r="P400" s="14"/>
    </row>
    <row r="401" spans="7:16">
      <c r="G401" s="14"/>
      <c r="H401" s="14"/>
      <c r="I401" s="14"/>
      <c r="J401" s="14"/>
      <c r="K401" s="14"/>
      <c r="L401" s="14"/>
      <c r="M401" s="14"/>
      <c r="N401" s="14"/>
      <c r="O401" s="14"/>
      <c r="P401" s="14"/>
    </row>
    <row r="402" spans="7:16">
      <c r="G402" s="14"/>
      <c r="H402" s="14"/>
      <c r="I402" s="14"/>
      <c r="J402" s="14"/>
      <c r="K402" s="14"/>
      <c r="L402" s="14"/>
      <c r="M402" s="14"/>
      <c r="N402" s="14"/>
      <c r="O402" s="14"/>
      <c r="P402" s="14"/>
    </row>
    <row r="403" spans="7:16">
      <c r="G403" s="14"/>
      <c r="H403" s="14"/>
      <c r="I403" s="14"/>
      <c r="J403" s="14"/>
      <c r="K403" s="14"/>
      <c r="L403" s="14"/>
      <c r="M403" s="14"/>
      <c r="N403" s="14"/>
      <c r="O403" s="14"/>
      <c r="P403" s="14"/>
    </row>
    <row r="404" spans="7:16">
      <c r="G404" s="14"/>
      <c r="H404" s="14"/>
      <c r="I404" s="14"/>
      <c r="J404" s="14"/>
      <c r="K404" s="14"/>
      <c r="L404" s="14"/>
      <c r="M404" s="14"/>
      <c r="N404" s="14"/>
      <c r="O404" s="14"/>
      <c r="P404" s="14"/>
    </row>
    <row r="405" spans="7:16">
      <c r="G405" s="14"/>
      <c r="H405" s="14"/>
      <c r="I405" s="14"/>
      <c r="J405" s="14"/>
      <c r="K405" s="14"/>
      <c r="L405" s="14"/>
      <c r="M405" s="14"/>
      <c r="N405" s="14"/>
      <c r="O405" s="14"/>
      <c r="P405" s="14"/>
    </row>
    <row r="406" spans="7:16">
      <c r="G406" s="14"/>
      <c r="H406" s="14"/>
      <c r="I406" s="14"/>
      <c r="J406" s="14"/>
      <c r="K406" s="14"/>
      <c r="L406" s="14"/>
      <c r="M406" s="14"/>
      <c r="N406" s="14"/>
      <c r="O406" s="14"/>
      <c r="P406" s="14"/>
    </row>
    <row r="407" spans="7:16">
      <c r="G407" s="14"/>
      <c r="H407" s="14"/>
      <c r="I407" s="14"/>
      <c r="J407" s="14"/>
      <c r="K407" s="14"/>
      <c r="L407" s="14"/>
      <c r="M407" s="14"/>
      <c r="N407" s="14"/>
      <c r="O407" s="14"/>
      <c r="P407" s="14"/>
    </row>
    <row r="408" spans="7:16">
      <c r="G408" s="14"/>
      <c r="H408" s="14"/>
      <c r="I408" s="14"/>
      <c r="J408" s="14"/>
      <c r="K408" s="14"/>
      <c r="L408" s="14"/>
      <c r="M408" s="14"/>
      <c r="N408" s="14"/>
      <c r="O408" s="14"/>
      <c r="P408" s="14"/>
    </row>
    <row r="409" spans="7:16">
      <c r="G409" s="14"/>
      <c r="H409" s="14"/>
      <c r="I409" s="14"/>
      <c r="J409" s="14"/>
      <c r="K409" s="14"/>
      <c r="L409" s="14"/>
      <c r="M409" s="14"/>
      <c r="N409" s="14"/>
      <c r="O409" s="14"/>
      <c r="P409" s="14"/>
    </row>
    <row r="410" spans="7:16">
      <c r="G410" s="14"/>
      <c r="H410" s="14"/>
      <c r="I410" s="14"/>
      <c r="J410" s="14"/>
      <c r="K410" s="14"/>
      <c r="L410" s="14"/>
      <c r="M410" s="14"/>
      <c r="N410" s="14"/>
      <c r="O410" s="14"/>
      <c r="P410" s="14"/>
    </row>
    <row r="411" spans="7:16">
      <c r="G411" s="14"/>
      <c r="H411" s="14"/>
      <c r="I411" s="14"/>
      <c r="J411" s="14"/>
      <c r="K411" s="14"/>
      <c r="L411" s="14"/>
      <c r="M411" s="14"/>
      <c r="N411" s="14"/>
      <c r="O411" s="14"/>
      <c r="P411" s="14"/>
    </row>
    <row r="412" spans="7:16">
      <c r="G412" s="14"/>
      <c r="H412" s="14"/>
      <c r="I412" s="14"/>
      <c r="J412" s="14"/>
      <c r="K412" s="14"/>
      <c r="L412" s="14"/>
      <c r="M412" s="14"/>
      <c r="N412" s="14"/>
      <c r="O412" s="14"/>
      <c r="P412" s="14"/>
    </row>
    <row r="413" spans="7:16">
      <c r="G413" s="14"/>
      <c r="H413" s="14"/>
      <c r="I413" s="14"/>
      <c r="J413" s="14"/>
      <c r="K413" s="14"/>
      <c r="L413" s="14"/>
      <c r="M413" s="14"/>
      <c r="N413" s="14"/>
      <c r="O413" s="14"/>
      <c r="P413" s="14"/>
    </row>
    <row r="414" spans="7:16">
      <c r="G414" s="14"/>
      <c r="H414" s="14"/>
      <c r="I414" s="14"/>
      <c r="J414" s="14"/>
      <c r="K414" s="14"/>
      <c r="L414" s="14"/>
      <c r="M414" s="14"/>
      <c r="N414" s="14"/>
      <c r="O414" s="14"/>
      <c r="P414" s="14"/>
    </row>
    <row r="415" spans="7:16">
      <c r="G415" s="14"/>
      <c r="H415" s="14"/>
      <c r="I415" s="14"/>
      <c r="J415" s="14"/>
      <c r="K415" s="14"/>
      <c r="L415" s="14"/>
      <c r="M415" s="14"/>
      <c r="N415" s="14"/>
      <c r="O415" s="14"/>
      <c r="P415" s="14"/>
    </row>
    <row r="416" spans="7:16">
      <c r="G416" s="14"/>
      <c r="H416" s="14"/>
      <c r="I416" s="14"/>
      <c r="J416" s="14"/>
      <c r="K416" s="14"/>
      <c r="L416" s="14"/>
      <c r="M416" s="14"/>
      <c r="N416" s="14"/>
      <c r="O416" s="14"/>
      <c r="P416" s="14"/>
    </row>
    <row r="417" spans="7:16">
      <c r="G417" s="14"/>
      <c r="H417" s="14"/>
      <c r="I417" s="14"/>
      <c r="J417" s="14"/>
      <c r="K417" s="14"/>
      <c r="L417" s="14"/>
      <c r="M417" s="14"/>
      <c r="N417" s="14"/>
      <c r="O417" s="14"/>
      <c r="P417" s="14"/>
    </row>
    <row r="418" spans="7:16">
      <c r="G418" s="14"/>
      <c r="H418" s="14"/>
      <c r="I418" s="14"/>
      <c r="J418" s="14"/>
      <c r="K418" s="14"/>
      <c r="L418" s="14"/>
      <c r="M418" s="14"/>
      <c r="N418" s="14"/>
      <c r="O418" s="14"/>
      <c r="P418" s="14"/>
    </row>
    <row r="419" spans="7:16">
      <c r="G419" s="14"/>
      <c r="H419" s="14"/>
      <c r="I419" s="14"/>
      <c r="J419" s="14"/>
      <c r="K419" s="14"/>
      <c r="L419" s="14"/>
      <c r="M419" s="14"/>
      <c r="N419" s="14"/>
      <c r="O419" s="14"/>
      <c r="P419" s="14"/>
    </row>
    <row r="420" spans="7:16">
      <c r="G420" s="14"/>
      <c r="H420" s="14"/>
      <c r="I420" s="14"/>
      <c r="J420" s="14"/>
      <c r="K420" s="14"/>
      <c r="L420" s="14"/>
      <c r="M420" s="14"/>
      <c r="N420" s="14"/>
      <c r="O420" s="14"/>
      <c r="P420" s="14"/>
    </row>
    <row r="421" spans="7:16">
      <c r="G421" s="14"/>
      <c r="H421" s="14"/>
      <c r="I421" s="14"/>
      <c r="J421" s="14"/>
      <c r="K421" s="14"/>
      <c r="L421" s="14"/>
      <c r="M421" s="14"/>
      <c r="N421" s="14"/>
      <c r="O421" s="14"/>
      <c r="P421" s="14"/>
    </row>
    <row r="422" spans="7:16">
      <c r="G422" s="14"/>
      <c r="H422" s="14"/>
      <c r="I422" s="14"/>
      <c r="J422" s="14"/>
      <c r="K422" s="14"/>
      <c r="L422" s="14"/>
      <c r="M422" s="14"/>
      <c r="N422" s="14"/>
      <c r="O422" s="14"/>
      <c r="P422" s="14"/>
    </row>
    <row r="423" spans="7:16">
      <c r="G423" s="14"/>
      <c r="H423" s="14"/>
      <c r="I423" s="14"/>
      <c r="J423" s="14"/>
      <c r="K423" s="14"/>
      <c r="L423" s="14"/>
      <c r="M423" s="14"/>
      <c r="N423" s="14"/>
      <c r="O423" s="14"/>
      <c r="P423" s="14"/>
    </row>
    <row r="424" spans="7:16">
      <c r="G424" s="14"/>
      <c r="H424" s="14"/>
      <c r="I424" s="14"/>
      <c r="J424" s="14"/>
      <c r="K424" s="14"/>
      <c r="L424" s="14"/>
      <c r="M424" s="14"/>
      <c r="N424" s="14"/>
      <c r="O424" s="14"/>
      <c r="P424" s="14"/>
    </row>
    <row r="425" spans="7:16">
      <c r="G425" s="14"/>
      <c r="H425" s="14"/>
      <c r="I425" s="14"/>
      <c r="J425" s="14"/>
      <c r="K425" s="14"/>
      <c r="L425" s="14"/>
      <c r="M425" s="14"/>
      <c r="N425" s="14"/>
      <c r="O425" s="14"/>
      <c r="P425" s="14"/>
    </row>
    <row r="426" spans="7:16">
      <c r="G426" s="14"/>
      <c r="H426" s="14"/>
      <c r="I426" s="14"/>
      <c r="J426" s="14"/>
      <c r="K426" s="14"/>
      <c r="L426" s="14"/>
      <c r="M426" s="14"/>
      <c r="N426" s="14"/>
      <c r="O426" s="14"/>
      <c r="P426" s="14"/>
    </row>
    <row r="427" spans="7:16">
      <c r="G427" s="14"/>
      <c r="H427" s="14"/>
      <c r="I427" s="14"/>
      <c r="J427" s="14"/>
      <c r="K427" s="14"/>
      <c r="L427" s="14"/>
      <c r="M427" s="14"/>
      <c r="N427" s="14"/>
      <c r="O427" s="14"/>
      <c r="P427" s="14"/>
    </row>
    <row r="428" spans="7:16">
      <c r="G428" s="14"/>
      <c r="H428" s="14"/>
      <c r="I428" s="14"/>
      <c r="J428" s="14"/>
      <c r="K428" s="14"/>
      <c r="L428" s="14"/>
      <c r="M428" s="14"/>
      <c r="N428" s="14"/>
      <c r="O428" s="14"/>
      <c r="P428" s="14"/>
    </row>
    <row r="429" spans="7:16">
      <c r="G429" s="14"/>
      <c r="H429" s="14"/>
      <c r="I429" s="14"/>
      <c r="J429" s="14"/>
      <c r="K429" s="14"/>
      <c r="L429" s="14"/>
      <c r="M429" s="14"/>
      <c r="N429" s="14"/>
      <c r="O429" s="14"/>
      <c r="P429" s="14"/>
    </row>
    <row r="430" spans="7:16">
      <c r="G430" s="14"/>
      <c r="H430" s="14"/>
      <c r="I430" s="14"/>
      <c r="J430" s="14"/>
      <c r="K430" s="14"/>
      <c r="L430" s="14"/>
      <c r="M430" s="14"/>
      <c r="N430" s="14"/>
      <c r="O430" s="14"/>
      <c r="P430" s="14"/>
    </row>
    <row r="431" spans="7:16">
      <c r="G431" s="14"/>
      <c r="H431" s="14"/>
      <c r="I431" s="14"/>
      <c r="J431" s="14"/>
      <c r="K431" s="14"/>
      <c r="L431" s="14"/>
      <c r="M431" s="14"/>
      <c r="N431" s="14"/>
      <c r="O431" s="14"/>
      <c r="P431" s="14"/>
    </row>
    <row r="432" spans="7:16">
      <c r="G432" s="14"/>
      <c r="H432" s="14"/>
      <c r="I432" s="14"/>
      <c r="J432" s="14"/>
      <c r="K432" s="14"/>
      <c r="L432" s="14"/>
      <c r="M432" s="14"/>
      <c r="N432" s="14"/>
      <c r="O432" s="14"/>
      <c r="P432" s="14"/>
    </row>
    <row r="433" spans="7:16">
      <c r="G433" s="14"/>
      <c r="H433" s="14"/>
      <c r="I433" s="14"/>
      <c r="J433" s="14"/>
      <c r="K433" s="14"/>
      <c r="L433" s="14"/>
      <c r="M433" s="14"/>
      <c r="N433" s="14"/>
      <c r="O433" s="14"/>
      <c r="P433" s="14"/>
    </row>
    <row r="434" spans="7:16">
      <c r="G434" s="14"/>
      <c r="H434" s="14"/>
      <c r="I434" s="14"/>
      <c r="J434" s="14"/>
      <c r="K434" s="14"/>
      <c r="L434" s="14"/>
      <c r="M434" s="14"/>
      <c r="N434" s="14"/>
      <c r="O434" s="14"/>
      <c r="P434" s="14"/>
    </row>
    <row r="435" spans="7:16">
      <c r="G435" s="14"/>
      <c r="H435" s="14"/>
      <c r="I435" s="14"/>
      <c r="J435" s="14"/>
      <c r="K435" s="14"/>
      <c r="L435" s="14"/>
      <c r="M435" s="14"/>
      <c r="N435" s="14"/>
      <c r="O435" s="14"/>
      <c r="P435" s="14"/>
    </row>
    <row r="436" spans="7:16">
      <c r="G436" s="14"/>
      <c r="H436" s="14"/>
      <c r="I436" s="14"/>
      <c r="J436" s="14"/>
      <c r="K436" s="14"/>
      <c r="L436" s="14"/>
      <c r="M436" s="14"/>
      <c r="N436" s="14"/>
      <c r="O436" s="14"/>
      <c r="P436" s="14"/>
    </row>
    <row r="437" spans="7:16">
      <c r="G437" s="14"/>
      <c r="H437" s="14"/>
      <c r="I437" s="14"/>
      <c r="J437" s="14"/>
      <c r="K437" s="14"/>
      <c r="L437" s="14"/>
      <c r="M437" s="14"/>
      <c r="N437" s="14"/>
      <c r="O437" s="14"/>
      <c r="P437" s="14"/>
    </row>
    <row r="438" spans="7:16">
      <c r="G438" s="14"/>
      <c r="H438" s="14"/>
      <c r="I438" s="14"/>
      <c r="J438" s="14"/>
      <c r="K438" s="14"/>
      <c r="L438" s="14"/>
      <c r="M438" s="14"/>
      <c r="N438" s="14"/>
      <c r="O438" s="14"/>
      <c r="P438" s="14"/>
    </row>
    <row r="439" spans="7:16">
      <c r="G439" s="14"/>
      <c r="H439" s="14"/>
      <c r="I439" s="14"/>
      <c r="J439" s="14"/>
      <c r="K439" s="14"/>
      <c r="L439" s="14"/>
      <c r="M439" s="14"/>
      <c r="N439" s="14"/>
      <c r="O439" s="14"/>
      <c r="P439" s="14"/>
    </row>
    <row r="440" spans="7:16">
      <c r="G440" s="14"/>
      <c r="H440" s="14"/>
      <c r="I440" s="14"/>
      <c r="J440" s="14"/>
      <c r="K440" s="14"/>
      <c r="L440" s="14"/>
      <c r="M440" s="14"/>
      <c r="N440" s="14"/>
      <c r="O440" s="14"/>
      <c r="P440" s="14"/>
    </row>
    <row r="441" spans="7:16">
      <c r="G441" s="14"/>
      <c r="H441" s="14"/>
      <c r="I441" s="14"/>
      <c r="J441" s="14"/>
      <c r="K441" s="14"/>
      <c r="L441" s="14"/>
      <c r="M441" s="14"/>
      <c r="N441" s="14"/>
      <c r="O441" s="14"/>
      <c r="P441" s="14"/>
    </row>
    <row r="442" spans="7:16">
      <c r="G442" s="14"/>
      <c r="H442" s="14"/>
      <c r="I442" s="14"/>
      <c r="J442" s="14"/>
      <c r="K442" s="14"/>
      <c r="L442" s="14"/>
      <c r="M442" s="14"/>
      <c r="N442" s="14"/>
      <c r="O442" s="14"/>
      <c r="P442" s="14"/>
    </row>
    <row r="443" spans="7:16">
      <c r="G443" s="14"/>
      <c r="H443" s="14"/>
      <c r="I443" s="14"/>
      <c r="J443" s="14"/>
      <c r="K443" s="14"/>
      <c r="L443" s="14"/>
      <c r="M443" s="14"/>
      <c r="N443" s="14"/>
      <c r="O443" s="14"/>
      <c r="P443" s="14"/>
    </row>
    <row r="444" spans="7:16">
      <c r="G444" s="14"/>
      <c r="H444" s="14"/>
      <c r="I444" s="14"/>
      <c r="J444" s="14"/>
      <c r="K444" s="14"/>
      <c r="L444" s="14"/>
      <c r="M444" s="14"/>
      <c r="N444" s="14"/>
      <c r="O444" s="14"/>
      <c r="P444" s="14"/>
    </row>
    <row r="445" spans="7:16">
      <c r="G445" s="14"/>
      <c r="H445" s="14"/>
      <c r="I445" s="14"/>
      <c r="J445" s="14"/>
      <c r="K445" s="14"/>
      <c r="L445" s="14"/>
      <c r="M445" s="14"/>
      <c r="N445" s="14"/>
      <c r="O445" s="14"/>
      <c r="P445" s="14"/>
    </row>
    <row r="446" spans="7:16">
      <c r="G446" s="14"/>
      <c r="H446" s="14"/>
      <c r="I446" s="14"/>
      <c r="J446" s="14"/>
      <c r="K446" s="14"/>
      <c r="L446" s="14"/>
      <c r="M446" s="14"/>
      <c r="N446" s="14"/>
      <c r="O446" s="14"/>
      <c r="P446" s="14"/>
    </row>
    <row r="447" spans="7:16">
      <c r="G447" s="14"/>
      <c r="H447" s="14"/>
      <c r="I447" s="14"/>
      <c r="J447" s="14"/>
      <c r="K447" s="14"/>
      <c r="L447" s="14"/>
      <c r="M447" s="14"/>
      <c r="N447" s="14"/>
      <c r="O447" s="14"/>
      <c r="P447" s="14"/>
    </row>
    <row r="448" spans="7:16">
      <c r="G448" s="14"/>
      <c r="H448" s="14"/>
      <c r="I448" s="14"/>
      <c r="J448" s="14"/>
      <c r="K448" s="14"/>
      <c r="L448" s="14"/>
      <c r="M448" s="14"/>
      <c r="N448" s="14"/>
      <c r="O448" s="14"/>
      <c r="P448" s="14"/>
    </row>
    <row r="449" spans="7:16">
      <c r="G449" s="14"/>
      <c r="H449" s="14"/>
      <c r="I449" s="14"/>
      <c r="J449" s="14"/>
      <c r="K449" s="14"/>
      <c r="L449" s="14"/>
      <c r="M449" s="14"/>
      <c r="N449" s="14"/>
      <c r="O449" s="14"/>
      <c r="P449" s="14"/>
    </row>
    <row r="450" spans="7:16">
      <c r="G450" s="14"/>
      <c r="H450" s="14"/>
      <c r="I450" s="14"/>
      <c r="J450" s="14"/>
      <c r="K450" s="14"/>
      <c r="L450" s="14"/>
      <c r="M450" s="14"/>
      <c r="N450" s="14"/>
      <c r="O450" s="14"/>
      <c r="P450" s="14"/>
    </row>
    <row r="451" spans="7:16">
      <c r="G451" s="14"/>
      <c r="H451" s="14"/>
      <c r="I451" s="14"/>
      <c r="J451" s="14"/>
      <c r="K451" s="14"/>
      <c r="L451" s="14"/>
      <c r="M451" s="14"/>
      <c r="N451" s="14"/>
      <c r="O451" s="14"/>
      <c r="P451" s="14"/>
    </row>
    <row r="452" spans="7:16">
      <c r="G452" s="14"/>
      <c r="H452" s="14"/>
      <c r="I452" s="14"/>
      <c r="J452" s="14"/>
      <c r="K452" s="14"/>
      <c r="L452" s="14"/>
      <c r="M452" s="14"/>
      <c r="N452" s="14"/>
      <c r="O452" s="14"/>
      <c r="P452" s="14"/>
    </row>
    <row r="453" spans="7:16">
      <c r="G453" s="14"/>
      <c r="H453" s="14"/>
      <c r="I453" s="14"/>
      <c r="J453" s="14"/>
      <c r="K453" s="14"/>
      <c r="L453" s="14"/>
      <c r="M453" s="14"/>
      <c r="N453" s="14"/>
      <c r="O453" s="14"/>
      <c r="P453" s="14"/>
    </row>
    <row r="454" spans="7:16">
      <c r="G454" s="14"/>
      <c r="H454" s="14"/>
      <c r="I454" s="14"/>
      <c r="J454" s="14"/>
      <c r="K454" s="14"/>
      <c r="L454" s="14"/>
      <c r="M454" s="14"/>
      <c r="N454" s="14"/>
      <c r="O454" s="14"/>
      <c r="P454" s="14"/>
    </row>
    <row r="455" spans="7:16">
      <c r="G455" s="14"/>
      <c r="H455" s="14"/>
      <c r="I455" s="14"/>
      <c r="J455" s="14"/>
      <c r="K455" s="14"/>
      <c r="L455" s="14"/>
      <c r="M455" s="14"/>
      <c r="N455" s="14"/>
      <c r="O455" s="14"/>
      <c r="P455" s="14"/>
    </row>
    <row r="456" spans="7:16">
      <c r="G456" s="14"/>
      <c r="H456" s="14"/>
      <c r="I456" s="14"/>
      <c r="J456" s="14"/>
      <c r="K456" s="14"/>
      <c r="L456" s="14"/>
      <c r="M456" s="14"/>
      <c r="N456" s="14"/>
      <c r="O456" s="14"/>
      <c r="P456" s="14"/>
    </row>
    <row r="457" spans="7:16">
      <c r="G457" s="14"/>
      <c r="H457" s="14"/>
      <c r="I457" s="14"/>
      <c r="J457" s="14"/>
      <c r="K457" s="14"/>
      <c r="L457" s="14"/>
      <c r="M457" s="14"/>
      <c r="N457" s="14"/>
      <c r="O457" s="14"/>
      <c r="P457" s="14"/>
    </row>
    <row r="458" spans="7:16">
      <c r="G458" s="14"/>
      <c r="H458" s="14"/>
      <c r="I458" s="14"/>
      <c r="J458" s="14"/>
      <c r="K458" s="14"/>
      <c r="L458" s="14"/>
      <c r="M458" s="14"/>
      <c r="N458" s="14"/>
      <c r="O458" s="14"/>
      <c r="P458" s="14"/>
    </row>
    <row r="459" spans="7:16">
      <c r="G459" s="14"/>
      <c r="H459" s="14"/>
      <c r="I459" s="14"/>
      <c r="J459" s="14"/>
      <c r="K459" s="14"/>
      <c r="L459" s="14"/>
      <c r="M459" s="14"/>
      <c r="N459" s="14"/>
      <c r="O459" s="14"/>
      <c r="P459" s="14"/>
    </row>
    <row r="460" spans="7:16">
      <c r="G460" s="14"/>
      <c r="H460" s="14"/>
      <c r="I460" s="14"/>
      <c r="J460" s="14"/>
      <c r="K460" s="14"/>
      <c r="L460" s="14"/>
      <c r="M460" s="14"/>
      <c r="N460" s="14"/>
      <c r="O460" s="14"/>
      <c r="P460" s="14"/>
    </row>
    <row r="461" spans="7:16">
      <c r="G461" s="14"/>
      <c r="H461" s="14"/>
      <c r="I461" s="14"/>
      <c r="J461" s="14"/>
      <c r="K461" s="14"/>
      <c r="L461" s="14"/>
      <c r="M461" s="14"/>
      <c r="N461" s="14"/>
      <c r="O461" s="14"/>
      <c r="P461" s="14"/>
    </row>
    <row r="462" spans="7:16">
      <c r="G462" s="14"/>
      <c r="H462" s="14"/>
      <c r="I462" s="14"/>
      <c r="J462" s="14"/>
      <c r="K462" s="14"/>
      <c r="L462" s="14"/>
      <c r="M462" s="14"/>
      <c r="N462" s="14"/>
      <c r="O462" s="14"/>
      <c r="P462" s="14"/>
    </row>
    <row r="463" spans="7:16">
      <c r="G463" s="14"/>
      <c r="H463" s="14"/>
      <c r="I463" s="14"/>
      <c r="J463" s="14"/>
      <c r="K463" s="14"/>
      <c r="L463" s="14"/>
      <c r="M463" s="14"/>
      <c r="N463" s="14"/>
      <c r="O463" s="14"/>
      <c r="P463" s="14"/>
    </row>
    <row r="464" spans="7:16">
      <c r="G464" s="14"/>
      <c r="H464" s="14"/>
      <c r="I464" s="14"/>
      <c r="J464" s="14"/>
      <c r="K464" s="14"/>
      <c r="L464" s="14"/>
      <c r="M464" s="14"/>
      <c r="N464" s="14"/>
      <c r="O464" s="14"/>
      <c r="P464" s="14"/>
    </row>
    <row r="465" spans="7:16">
      <c r="G465" s="14"/>
      <c r="H465" s="14"/>
      <c r="I465" s="14"/>
      <c r="J465" s="14"/>
      <c r="K465" s="14"/>
      <c r="L465" s="14"/>
      <c r="M465" s="14"/>
      <c r="N465" s="14"/>
      <c r="O465" s="14"/>
      <c r="P465" s="14"/>
    </row>
    <row r="466" spans="7:16">
      <c r="G466" s="14"/>
      <c r="H466" s="14"/>
      <c r="I466" s="14"/>
      <c r="J466" s="14"/>
      <c r="K466" s="14"/>
      <c r="L466" s="14"/>
      <c r="M466" s="14"/>
      <c r="N466" s="14"/>
      <c r="O466" s="14"/>
      <c r="P466" s="14"/>
    </row>
    <row r="467" spans="7:16">
      <c r="G467" s="14"/>
      <c r="H467" s="14"/>
      <c r="I467" s="14"/>
      <c r="J467" s="14"/>
      <c r="K467" s="14"/>
      <c r="L467" s="14"/>
      <c r="M467" s="14"/>
      <c r="N467" s="14"/>
      <c r="O467" s="14"/>
      <c r="P467" s="14"/>
    </row>
    <row r="468" spans="7:16">
      <c r="G468" s="14"/>
      <c r="H468" s="14"/>
      <c r="I468" s="14"/>
      <c r="J468" s="14"/>
      <c r="K468" s="14"/>
      <c r="L468" s="14"/>
      <c r="M468" s="14"/>
      <c r="N468" s="14"/>
      <c r="O468" s="14"/>
      <c r="P468" s="14"/>
    </row>
    <row r="469" spans="7:16">
      <c r="G469" s="14"/>
      <c r="H469" s="14"/>
      <c r="I469" s="14"/>
      <c r="J469" s="14"/>
      <c r="K469" s="14"/>
      <c r="L469" s="14"/>
      <c r="M469" s="14"/>
      <c r="N469" s="14"/>
      <c r="O469" s="14"/>
      <c r="P469" s="14"/>
    </row>
    <row r="470" spans="7:16">
      <c r="G470" s="14"/>
      <c r="H470" s="14"/>
      <c r="I470" s="14"/>
      <c r="J470" s="14"/>
      <c r="K470" s="14"/>
      <c r="L470" s="14"/>
      <c r="M470" s="14"/>
      <c r="N470" s="14"/>
      <c r="O470" s="14"/>
      <c r="P470" s="14"/>
    </row>
    <row r="471" spans="7:16">
      <c r="G471" s="14"/>
      <c r="H471" s="14"/>
      <c r="I471" s="14"/>
      <c r="J471" s="14"/>
      <c r="K471" s="14"/>
      <c r="L471" s="14"/>
      <c r="M471" s="14"/>
      <c r="N471" s="14"/>
      <c r="O471" s="14"/>
      <c r="P471" s="14"/>
    </row>
    <row r="472" spans="7:16">
      <c r="G472" s="14"/>
      <c r="H472" s="14"/>
      <c r="I472" s="14"/>
      <c r="J472" s="14"/>
      <c r="K472" s="14"/>
      <c r="L472" s="14"/>
      <c r="M472" s="14"/>
      <c r="N472" s="14"/>
      <c r="O472" s="14"/>
      <c r="P472" s="14"/>
    </row>
    <row r="473" spans="7:16">
      <c r="G473" s="14"/>
      <c r="H473" s="14"/>
      <c r="I473" s="14"/>
      <c r="J473" s="14"/>
      <c r="K473" s="14"/>
      <c r="L473" s="14"/>
      <c r="M473" s="14"/>
      <c r="N473" s="14"/>
      <c r="O473" s="14"/>
      <c r="P473" s="14"/>
    </row>
    <row r="474" spans="7:16">
      <c r="G474" s="14"/>
      <c r="H474" s="14"/>
      <c r="I474" s="14"/>
      <c r="J474" s="14"/>
      <c r="K474" s="14"/>
      <c r="L474" s="14"/>
      <c r="M474" s="14"/>
      <c r="N474" s="14"/>
      <c r="O474" s="14"/>
      <c r="P474" s="14"/>
    </row>
    <row r="475" spans="7:16">
      <c r="G475" s="14"/>
      <c r="H475" s="14"/>
      <c r="I475" s="14"/>
      <c r="J475" s="14"/>
      <c r="K475" s="14"/>
      <c r="L475" s="14"/>
      <c r="M475" s="14"/>
      <c r="N475" s="14"/>
      <c r="O475" s="14"/>
      <c r="P475" s="14"/>
    </row>
    <row r="476" spans="7:16">
      <c r="G476" s="14"/>
      <c r="H476" s="14"/>
      <c r="I476" s="14"/>
      <c r="J476" s="14"/>
      <c r="K476" s="14"/>
      <c r="L476" s="14"/>
      <c r="M476" s="14"/>
      <c r="N476" s="14"/>
      <c r="O476" s="14"/>
      <c r="P476" s="14"/>
    </row>
    <row r="477" spans="7:16">
      <c r="G477" s="14"/>
      <c r="H477" s="14"/>
      <c r="I477" s="14"/>
      <c r="J477" s="14"/>
      <c r="K477" s="14"/>
      <c r="L477" s="14"/>
      <c r="M477" s="14"/>
      <c r="N477" s="14"/>
      <c r="O477" s="14"/>
      <c r="P477" s="14"/>
    </row>
    <row r="478" spans="7:16">
      <c r="G478" s="14"/>
      <c r="H478" s="14"/>
      <c r="I478" s="14"/>
      <c r="J478" s="14"/>
      <c r="K478" s="14"/>
      <c r="L478" s="14"/>
      <c r="M478" s="14"/>
      <c r="N478" s="14"/>
      <c r="O478" s="14"/>
      <c r="P478" s="14"/>
    </row>
    <row r="479" spans="7:16">
      <c r="G479" s="14"/>
      <c r="H479" s="14"/>
      <c r="I479" s="14"/>
      <c r="J479" s="14"/>
      <c r="K479" s="14"/>
      <c r="L479" s="14"/>
      <c r="M479" s="14"/>
      <c r="N479" s="14"/>
      <c r="O479" s="14"/>
      <c r="P479" s="14"/>
    </row>
    <row r="480" spans="7:16">
      <c r="G480" s="14"/>
      <c r="H480" s="14"/>
      <c r="I480" s="14"/>
      <c r="J480" s="14"/>
      <c r="K480" s="14"/>
      <c r="L480" s="14"/>
      <c r="M480" s="14"/>
      <c r="N480" s="14"/>
      <c r="O480" s="14"/>
      <c r="P480" s="14"/>
    </row>
    <row r="481" spans="7:16">
      <c r="G481" s="14"/>
      <c r="H481" s="14"/>
      <c r="I481" s="14"/>
      <c r="J481" s="14"/>
      <c r="K481" s="14"/>
      <c r="L481" s="14"/>
      <c r="M481" s="14"/>
      <c r="N481" s="14"/>
      <c r="O481" s="14"/>
      <c r="P481" s="14"/>
    </row>
    <row r="482" spans="7:16">
      <c r="G482" s="14"/>
      <c r="H482" s="14"/>
      <c r="I482" s="14"/>
      <c r="J482" s="14"/>
      <c r="K482" s="14"/>
      <c r="L482" s="14"/>
      <c r="M482" s="14"/>
      <c r="N482" s="14"/>
      <c r="O482" s="14"/>
      <c r="P482" s="14"/>
    </row>
    <row r="483" spans="7:16">
      <c r="G483" s="14"/>
      <c r="H483" s="14"/>
      <c r="I483" s="14"/>
      <c r="J483" s="14"/>
      <c r="K483" s="14"/>
      <c r="L483" s="14"/>
      <c r="M483" s="14"/>
      <c r="N483" s="14"/>
      <c r="O483" s="14"/>
      <c r="P483" s="14"/>
    </row>
    <row r="484" spans="7:16">
      <c r="G484" s="14"/>
      <c r="H484" s="14"/>
      <c r="I484" s="14"/>
      <c r="J484" s="14"/>
      <c r="K484" s="14"/>
      <c r="L484" s="14"/>
      <c r="M484" s="14"/>
      <c r="N484" s="14"/>
      <c r="O484" s="14"/>
      <c r="P484" s="14"/>
    </row>
    <row r="485" spans="7:16">
      <c r="G485" s="14"/>
      <c r="H485" s="14"/>
      <c r="I485" s="14"/>
      <c r="J485" s="14"/>
      <c r="K485" s="14"/>
      <c r="L485" s="14"/>
      <c r="M485" s="14"/>
      <c r="N485" s="14"/>
      <c r="O485" s="14"/>
      <c r="P485" s="14"/>
    </row>
    <row r="486" spans="7:16">
      <c r="G486" s="14"/>
      <c r="H486" s="14"/>
      <c r="I486" s="14"/>
      <c r="J486" s="14"/>
      <c r="K486" s="14"/>
      <c r="L486" s="14"/>
      <c r="M486" s="14"/>
      <c r="N486" s="14"/>
      <c r="O486" s="14"/>
      <c r="P486" s="14"/>
    </row>
    <row r="487" spans="7:16">
      <c r="G487" s="14"/>
      <c r="H487" s="14"/>
      <c r="I487" s="14"/>
      <c r="J487" s="14"/>
      <c r="K487" s="14"/>
      <c r="L487" s="14"/>
      <c r="M487" s="14"/>
      <c r="N487" s="14"/>
      <c r="O487" s="14"/>
      <c r="P487" s="14"/>
    </row>
    <row r="488" spans="7:16">
      <c r="G488" s="14"/>
      <c r="H488" s="14"/>
      <c r="I488" s="14"/>
      <c r="J488" s="14"/>
      <c r="K488" s="14"/>
      <c r="L488" s="14"/>
      <c r="M488" s="14"/>
      <c r="N488" s="14"/>
      <c r="O488" s="14"/>
      <c r="P488" s="14"/>
    </row>
    <row r="489" spans="7:16">
      <c r="G489" s="14"/>
      <c r="H489" s="14"/>
      <c r="I489" s="14"/>
      <c r="J489" s="14"/>
      <c r="K489" s="14"/>
      <c r="L489" s="14"/>
      <c r="M489" s="14"/>
      <c r="N489" s="14"/>
      <c r="O489" s="14"/>
      <c r="P489" s="14"/>
    </row>
    <row r="490" spans="7:16">
      <c r="G490" s="14"/>
      <c r="H490" s="14"/>
      <c r="I490" s="14"/>
      <c r="J490" s="14"/>
      <c r="K490" s="14"/>
      <c r="L490" s="14"/>
      <c r="M490" s="14"/>
      <c r="N490" s="14"/>
      <c r="O490" s="14"/>
      <c r="P490" s="14"/>
    </row>
    <row r="491" spans="7:16">
      <c r="G491" s="14"/>
      <c r="H491" s="14"/>
      <c r="I491" s="14"/>
      <c r="J491" s="14"/>
      <c r="K491" s="14"/>
      <c r="L491" s="14"/>
      <c r="M491" s="14"/>
      <c r="N491" s="14"/>
      <c r="O491" s="14"/>
      <c r="P491" s="14"/>
    </row>
    <row r="492" spans="7:16">
      <c r="G492" s="14"/>
      <c r="H492" s="14"/>
      <c r="I492" s="14"/>
      <c r="J492" s="14"/>
      <c r="K492" s="14"/>
      <c r="L492" s="14"/>
      <c r="M492" s="14"/>
      <c r="N492" s="14"/>
      <c r="O492" s="14"/>
      <c r="P492" s="14"/>
    </row>
    <row r="493" spans="7:16">
      <c r="G493" s="14"/>
      <c r="H493" s="14"/>
      <c r="I493" s="14"/>
      <c r="J493" s="14"/>
      <c r="K493" s="14"/>
      <c r="L493" s="14"/>
      <c r="M493" s="14"/>
      <c r="N493" s="14"/>
      <c r="O493" s="14"/>
      <c r="P493" s="14"/>
    </row>
    <row r="494" spans="7:16">
      <c r="G494" s="14"/>
      <c r="H494" s="14"/>
      <c r="I494" s="14"/>
      <c r="J494" s="14"/>
      <c r="K494" s="14"/>
      <c r="L494" s="14"/>
      <c r="M494" s="14"/>
      <c r="N494" s="14"/>
      <c r="O494" s="14"/>
      <c r="P494" s="14"/>
    </row>
    <row r="495" spans="7:16">
      <c r="G495" s="14"/>
      <c r="H495" s="14"/>
      <c r="I495" s="14"/>
      <c r="J495" s="14"/>
      <c r="K495" s="14"/>
      <c r="L495" s="14"/>
      <c r="M495" s="14"/>
      <c r="N495" s="14"/>
      <c r="O495" s="14"/>
      <c r="P495" s="14"/>
    </row>
    <row r="496" spans="7:16">
      <c r="G496" s="14"/>
      <c r="H496" s="14"/>
      <c r="I496" s="14"/>
      <c r="J496" s="14"/>
      <c r="K496" s="14"/>
      <c r="L496" s="14"/>
      <c r="M496" s="14"/>
      <c r="N496" s="14"/>
      <c r="O496" s="14"/>
      <c r="P496" s="14"/>
    </row>
    <row r="497" spans="7:16">
      <c r="G497" s="14"/>
      <c r="H497" s="14"/>
      <c r="I497" s="14"/>
      <c r="J497" s="14"/>
      <c r="K497" s="14"/>
      <c r="L497" s="14"/>
      <c r="M497" s="14"/>
      <c r="N497" s="14"/>
      <c r="O497" s="14"/>
      <c r="P497" s="14"/>
    </row>
    <row r="498" spans="7:16">
      <c r="G498" s="14"/>
      <c r="H498" s="14"/>
      <c r="I498" s="14"/>
      <c r="J498" s="14"/>
      <c r="K498" s="14"/>
      <c r="L498" s="14"/>
      <c r="M498" s="14"/>
      <c r="N498" s="14"/>
      <c r="O498" s="14"/>
      <c r="P498" s="14"/>
    </row>
    <row r="499" spans="7:16">
      <c r="G499" s="14"/>
      <c r="H499" s="14"/>
      <c r="I499" s="14"/>
      <c r="J499" s="14"/>
      <c r="K499" s="14"/>
      <c r="L499" s="14"/>
      <c r="M499" s="14"/>
      <c r="N499" s="14"/>
      <c r="O499" s="14"/>
      <c r="P499" s="14"/>
    </row>
    <row r="500" spans="7:16">
      <c r="G500" s="14"/>
      <c r="H500" s="14"/>
      <c r="I500" s="14"/>
      <c r="J500" s="14"/>
      <c r="K500" s="14"/>
      <c r="L500" s="14"/>
      <c r="M500" s="14"/>
      <c r="N500" s="14"/>
      <c r="O500" s="14"/>
      <c r="P500" s="14"/>
    </row>
    <row r="501" spans="7:16">
      <c r="G501" s="14"/>
      <c r="H501" s="14"/>
      <c r="I501" s="14"/>
      <c r="J501" s="14"/>
      <c r="K501" s="14"/>
      <c r="L501" s="14"/>
      <c r="M501" s="14"/>
      <c r="N501" s="14"/>
      <c r="O501" s="14"/>
      <c r="P501" s="14"/>
    </row>
    <row r="502" spans="7:16">
      <c r="G502" s="14"/>
      <c r="H502" s="14"/>
      <c r="I502" s="14"/>
      <c r="J502" s="14"/>
      <c r="K502" s="14"/>
      <c r="L502" s="14"/>
      <c r="M502" s="14"/>
      <c r="N502" s="14"/>
      <c r="O502" s="14"/>
      <c r="P502" s="14"/>
    </row>
    <row r="503" spans="7:16">
      <c r="G503" s="14"/>
      <c r="H503" s="14"/>
      <c r="I503" s="14"/>
      <c r="J503" s="14"/>
      <c r="K503" s="14"/>
      <c r="L503" s="14"/>
      <c r="M503" s="14"/>
      <c r="N503" s="14"/>
      <c r="O503" s="14"/>
      <c r="P503" s="14"/>
    </row>
    <row r="504" spans="7:16">
      <c r="G504" s="14"/>
      <c r="H504" s="14"/>
      <c r="I504" s="14"/>
      <c r="J504" s="14"/>
      <c r="K504" s="14"/>
      <c r="L504" s="14"/>
      <c r="M504" s="14"/>
      <c r="N504" s="14"/>
      <c r="O504" s="14"/>
      <c r="P504" s="14"/>
    </row>
    <row r="505" spans="7:16">
      <c r="G505" s="14"/>
      <c r="H505" s="14"/>
      <c r="I505" s="14"/>
      <c r="J505" s="14"/>
      <c r="K505" s="14"/>
      <c r="L505" s="14"/>
      <c r="M505" s="14"/>
      <c r="N505" s="14"/>
      <c r="O505" s="14"/>
      <c r="P505" s="14"/>
    </row>
    <row r="506" spans="7:16">
      <c r="G506" s="14"/>
      <c r="H506" s="14"/>
      <c r="I506" s="14"/>
      <c r="J506" s="14"/>
      <c r="K506" s="14"/>
      <c r="L506" s="14"/>
      <c r="M506" s="14"/>
      <c r="N506" s="14"/>
      <c r="O506" s="14"/>
      <c r="P506" s="14"/>
    </row>
    <row r="507" spans="7:16">
      <c r="G507" s="14"/>
      <c r="H507" s="14"/>
      <c r="I507" s="14"/>
      <c r="J507" s="14"/>
      <c r="K507" s="14"/>
      <c r="L507" s="14"/>
      <c r="M507" s="14"/>
      <c r="N507" s="14"/>
      <c r="O507" s="14"/>
      <c r="P507" s="14"/>
    </row>
    <row r="508" spans="7:16">
      <c r="G508" s="14"/>
      <c r="H508" s="14"/>
      <c r="I508" s="14"/>
      <c r="J508" s="14"/>
      <c r="K508" s="14"/>
      <c r="L508" s="14"/>
      <c r="M508" s="14"/>
      <c r="N508" s="14"/>
      <c r="O508" s="14"/>
      <c r="P508" s="14"/>
    </row>
    <row r="509" spans="7:16">
      <c r="G509" s="14"/>
      <c r="H509" s="14"/>
      <c r="I509" s="14"/>
      <c r="J509" s="14"/>
      <c r="K509" s="14"/>
      <c r="L509" s="14"/>
      <c r="M509" s="14"/>
      <c r="N509" s="14"/>
      <c r="O509" s="14"/>
      <c r="P509" s="14"/>
    </row>
    <row r="510" spans="7:16">
      <c r="G510" s="14"/>
      <c r="H510" s="14"/>
      <c r="I510" s="14"/>
      <c r="J510" s="14"/>
      <c r="K510" s="14"/>
      <c r="L510" s="14"/>
      <c r="M510" s="14"/>
      <c r="N510" s="14"/>
      <c r="O510" s="14"/>
      <c r="P510" s="14"/>
    </row>
    <row r="511" spans="7:16">
      <c r="G511" s="14"/>
      <c r="H511" s="14"/>
      <c r="I511" s="14"/>
      <c r="J511" s="14"/>
      <c r="K511" s="14"/>
      <c r="L511" s="14"/>
      <c r="M511" s="14"/>
      <c r="N511" s="14"/>
      <c r="O511" s="14"/>
      <c r="P511" s="14"/>
    </row>
    <row r="512" spans="7:16">
      <c r="G512" s="14"/>
      <c r="H512" s="14"/>
      <c r="I512" s="14"/>
      <c r="J512" s="14"/>
      <c r="K512" s="14"/>
      <c r="L512" s="14"/>
      <c r="M512" s="14"/>
      <c r="N512" s="14"/>
      <c r="O512" s="14"/>
      <c r="P512" s="14"/>
    </row>
    <row r="513" spans="7:16">
      <c r="G513" s="14"/>
      <c r="H513" s="14"/>
      <c r="I513" s="14"/>
      <c r="J513" s="14"/>
      <c r="K513" s="14"/>
      <c r="L513" s="14"/>
      <c r="M513" s="14"/>
      <c r="N513" s="14"/>
      <c r="O513" s="14"/>
      <c r="P513" s="14"/>
    </row>
    <row r="514" spans="7:16">
      <c r="G514" s="14"/>
      <c r="H514" s="14"/>
      <c r="I514" s="14"/>
      <c r="J514" s="14"/>
      <c r="K514" s="14"/>
      <c r="L514" s="14"/>
      <c r="M514" s="14"/>
      <c r="N514" s="14"/>
      <c r="O514" s="14"/>
      <c r="P514" s="14"/>
    </row>
    <row r="515" spans="7:16">
      <c r="G515" s="14"/>
      <c r="H515" s="14"/>
      <c r="I515" s="14"/>
      <c r="J515" s="14"/>
      <c r="K515" s="14"/>
      <c r="L515" s="14"/>
      <c r="M515" s="14"/>
      <c r="N515" s="14"/>
      <c r="O515" s="14"/>
      <c r="P515" s="14"/>
    </row>
    <row r="516" spans="7:16">
      <c r="G516" s="14"/>
      <c r="H516" s="14"/>
      <c r="I516" s="14"/>
      <c r="J516" s="14"/>
      <c r="K516" s="14"/>
      <c r="L516" s="14"/>
      <c r="M516" s="14"/>
      <c r="N516" s="14"/>
      <c r="O516" s="14"/>
      <c r="P516" s="14"/>
    </row>
    <row r="517" spans="7:16">
      <c r="G517" s="14"/>
      <c r="H517" s="14"/>
      <c r="I517" s="14"/>
      <c r="J517" s="14"/>
      <c r="K517" s="14"/>
      <c r="L517" s="14"/>
      <c r="M517" s="14"/>
      <c r="N517" s="14"/>
      <c r="O517" s="14"/>
      <c r="P517" s="14"/>
    </row>
    <row r="518" spans="7:16">
      <c r="G518" s="14"/>
      <c r="H518" s="14"/>
      <c r="I518" s="14"/>
      <c r="J518" s="14"/>
      <c r="K518" s="14"/>
      <c r="L518" s="14"/>
      <c r="M518" s="14"/>
      <c r="N518" s="14"/>
      <c r="O518" s="14"/>
      <c r="P518" s="14"/>
    </row>
    <row r="519" spans="7:16">
      <c r="G519" s="14"/>
      <c r="H519" s="14"/>
      <c r="I519" s="14"/>
      <c r="J519" s="14"/>
      <c r="K519" s="14"/>
      <c r="L519" s="14"/>
      <c r="M519" s="14"/>
      <c r="N519" s="14"/>
      <c r="O519" s="14"/>
      <c r="P519" s="14"/>
    </row>
    <row r="520" spans="7:16">
      <c r="G520" s="14"/>
      <c r="H520" s="14"/>
      <c r="I520" s="14"/>
      <c r="J520" s="14"/>
      <c r="K520" s="14"/>
      <c r="L520" s="14"/>
      <c r="M520" s="14"/>
      <c r="N520" s="14"/>
      <c r="O520" s="14"/>
      <c r="P520" s="14"/>
    </row>
    <row r="521" spans="7:16">
      <c r="G521" s="14"/>
      <c r="H521" s="14"/>
      <c r="I521" s="14"/>
      <c r="J521" s="14"/>
      <c r="K521" s="14"/>
      <c r="L521" s="14"/>
      <c r="M521" s="14"/>
      <c r="N521" s="14"/>
      <c r="O521" s="14"/>
      <c r="P521" s="14"/>
    </row>
    <row r="522" spans="7:16">
      <c r="G522" s="14"/>
      <c r="H522" s="14"/>
      <c r="I522" s="14"/>
      <c r="J522" s="14"/>
      <c r="K522" s="14"/>
      <c r="L522" s="14"/>
      <c r="M522" s="14"/>
      <c r="N522" s="14"/>
      <c r="O522" s="14"/>
      <c r="P522" s="14"/>
    </row>
    <row r="523" spans="7:16">
      <c r="G523" s="14"/>
      <c r="H523" s="14"/>
      <c r="I523" s="14"/>
      <c r="J523" s="14"/>
      <c r="K523" s="14"/>
      <c r="L523" s="14"/>
      <c r="M523" s="14"/>
      <c r="N523" s="14"/>
      <c r="O523" s="14"/>
      <c r="P523" s="14"/>
    </row>
    <row r="524" spans="7:16">
      <c r="G524" s="14"/>
      <c r="H524" s="14"/>
      <c r="I524" s="14"/>
      <c r="J524" s="14"/>
      <c r="K524" s="14"/>
      <c r="L524" s="14"/>
      <c r="M524" s="14"/>
      <c r="N524" s="14"/>
      <c r="O524" s="14"/>
      <c r="P524" s="14"/>
    </row>
    <row r="525" spans="7:16">
      <c r="G525" s="14"/>
      <c r="H525" s="14"/>
      <c r="I525" s="14"/>
      <c r="J525" s="14"/>
      <c r="K525" s="14"/>
      <c r="L525" s="14"/>
      <c r="M525" s="14"/>
      <c r="N525" s="14"/>
      <c r="O525" s="14"/>
      <c r="P525" s="14"/>
    </row>
    <row r="526" spans="7:16">
      <c r="G526" s="14"/>
      <c r="H526" s="14"/>
      <c r="I526" s="14"/>
      <c r="J526" s="14"/>
      <c r="K526" s="14"/>
      <c r="L526" s="14"/>
      <c r="M526" s="14"/>
      <c r="N526" s="14"/>
      <c r="O526" s="14"/>
      <c r="P526" s="14"/>
    </row>
    <row r="527" spans="7:16">
      <c r="G527" s="14"/>
      <c r="H527" s="14"/>
      <c r="I527" s="14"/>
      <c r="J527" s="14"/>
      <c r="K527" s="14"/>
      <c r="L527" s="14"/>
      <c r="M527" s="14"/>
      <c r="N527" s="14"/>
      <c r="O527" s="14"/>
      <c r="P527" s="14"/>
    </row>
    <row r="528" spans="7:16">
      <c r="G528" s="14"/>
      <c r="H528" s="14"/>
      <c r="I528" s="14"/>
      <c r="J528" s="14"/>
      <c r="K528" s="14"/>
      <c r="L528" s="14"/>
      <c r="M528" s="14"/>
      <c r="N528" s="14"/>
      <c r="O528" s="14"/>
      <c r="P528" s="14"/>
    </row>
    <row r="529" spans="7:16">
      <c r="G529" s="14"/>
      <c r="H529" s="14"/>
      <c r="I529" s="14"/>
      <c r="J529" s="14"/>
      <c r="K529" s="14"/>
      <c r="L529" s="14"/>
      <c r="M529" s="14"/>
      <c r="N529" s="14"/>
      <c r="O529" s="14"/>
      <c r="P529" s="14"/>
    </row>
    <row r="530" spans="7:16">
      <c r="G530" s="14"/>
      <c r="H530" s="14"/>
      <c r="I530" s="14"/>
      <c r="J530" s="14"/>
      <c r="K530" s="14"/>
      <c r="L530" s="14"/>
      <c r="M530" s="14"/>
      <c r="N530" s="14"/>
      <c r="O530" s="14"/>
      <c r="P530" s="14"/>
    </row>
    <row r="531" spans="7:16">
      <c r="G531" s="14"/>
      <c r="H531" s="14"/>
      <c r="I531" s="14"/>
      <c r="J531" s="14"/>
      <c r="K531" s="14"/>
      <c r="L531" s="14"/>
      <c r="M531" s="14"/>
      <c r="N531" s="14"/>
      <c r="O531" s="14"/>
      <c r="P531" s="14"/>
    </row>
    <row r="532" spans="7:16">
      <c r="G532" s="14"/>
      <c r="H532" s="14"/>
      <c r="I532" s="14"/>
      <c r="J532" s="14"/>
      <c r="K532" s="14"/>
      <c r="L532" s="14"/>
      <c r="M532" s="14"/>
      <c r="N532" s="14"/>
      <c r="O532" s="14"/>
      <c r="P532" s="14"/>
    </row>
    <row r="533" spans="7:16">
      <c r="G533" s="14"/>
      <c r="H533" s="14"/>
      <c r="I533" s="14"/>
      <c r="J533" s="14"/>
      <c r="K533" s="14"/>
      <c r="L533" s="14"/>
      <c r="M533" s="14"/>
      <c r="N533" s="14"/>
      <c r="O533" s="14"/>
      <c r="P533" s="14"/>
    </row>
    <row r="534" spans="7:16">
      <c r="G534" s="14"/>
      <c r="H534" s="14"/>
      <c r="I534" s="14"/>
      <c r="J534" s="14"/>
      <c r="K534" s="14"/>
      <c r="L534" s="14"/>
      <c r="M534" s="14"/>
      <c r="N534" s="14"/>
      <c r="O534" s="14"/>
      <c r="P534" s="14"/>
    </row>
    <row r="535" spans="7:16">
      <c r="G535" s="14"/>
      <c r="H535" s="14"/>
      <c r="I535" s="14"/>
      <c r="J535" s="14"/>
      <c r="K535" s="14"/>
      <c r="L535" s="14"/>
      <c r="M535" s="14"/>
      <c r="N535" s="14"/>
      <c r="O535" s="14"/>
      <c r="P535" s="14"/>
    </row>
    <row r="536" spans="7:16">
      <c r="G536" s="14"/>
      <c r="H536" s="14"/>
      <c r="I536" s="14"/>
      <c r="J536" s="14"/>
      <c r="K536" s="14"/>
      <c r="L536" s="14"/>
      <c r="M536" s="14"/>
      <c r="N536" s="14"/>
      <c r="O536" s="14"/>
      <c r="P536" s="14"/>
    </row>
    <row r="537" spans="7:16">
      <c r="G537" s="14"/>
      <c r="H537" s="14"/>
      <c r="I537" s="14"/>
      <c r="J537" s="14"/>
      <c r="K537" s="14"/>
      <c r="L537" s="14"/>
      <c r="M537" s="14"/>
      <c r="N537" s="14"/>
      <c r="O537" s="14"/>
      <c r="P537" s="14"/>
    </row>
    <row r="538" spans="7:16">
      <c r="G538" s="14"/>
      <c r="H538" s="14"/>
      <c r="I538" s="14"/>
      <c r="J538" s="14"/>
      <c r="K538" s="14"/>
      <c r="L538" s="14"/>
      <c r="M538" s="14"/>
      <c r="N538" s="14"/>
      <c r="O538" s="14"/>
      <c r="P538" s="14"/>
    </row>
    <row r="539" spans="7:16">
      <c r="G539" s="14"/>
      <c r="H539" s="14"/>
      <c r="I539" s="14"/>
      <c r="J539" s="14"/>
      <c r="K539" s="14"/>
      <c r="L539" s="14"/>
      <c r="M539" s="14"/>
      <c r="N539" s="14"/>
      <c r="O539" s="14"/>
      <c r="P539" s="14"/>
    </row>
    <row r="540" spans="7:16">
      <c r="G540" s="14"/>
      <c r="H540" s="14"/>
      <c r="I540" s="14"/>
      <c r="J540" s="14"/>
      <c r="K540" s="14"/>
      <c r="L540" s="14"/>
      <c r="M540" s="14"/>
      <c r="N540" s="14"/>
      <c r="O540" s="14"/>
      <c r="P540" s="14"/>
    </row>
    <row r="541" spans="7:16">
      <c r="G541" s="14"/>
      <c r="H541" s="14"/>
      <c r="I541" s="14"/>
      <c r="J541" s="14"/>
      <c r="K541" s="14"/>
      <c r="L541" s="14"/>
      <c r="M541" s="14"/>
      <c r="N541" s="14"/>
      <c r="O541" s="14"/>
      <c r="P541" s="14"/>
    </row>
    <row r="542" spans="7:16">
      <c r="G542" s="14"/>
      <c r="H542" s="14"/>
      <c r="I542" s="14"/>
      <c r="J542" s="14"/>
      <c r="K542" s="14"/>
      <c r="L542" s="14"/>
      <c r="M542" s="14"/>
      <c r="N542" s="14"/>
      <c r="O542" s="14"/>
      <c r="P542" s="14"/>
    </row>
    <row r="543" spans="7:16">
      <c r="G543" s="14"/>
      <c r="H543" s="14"/>
      <c r="I543" s="14"/>
      <c r="J543" s="14"/>
      <c r="K543" s="14"/>
      <c r="L543" s="14"/>
      <c r="M543" s="14"/>
      <c r="N543" s="14"/>
      <c r="O543" s="14"/>
      <c r="P543" s="14"/>
    </row>
    <row r="544" spans="7:16">
      <c r="G544" s="14"/>
      <c r="H544" s="14"/>
      <c r="I544" s="14"/>
      <c r="J544" s="14"/>
      <c r="K544" s="14"/>
      <c r="L544" s="14"/>
      <c r="M544" s="14"/>
      <c r="N544" s="14"/>
      <c r="O544" s="14"/>
      <c r="P544" s="14"/>
    </row>
    <row r="545" spans="7:16">
      <c r="G545" s="14"/>
      <c r="H545" s="14"/>
      <c r="I545" s="14"/>
      <c r="J545" s="14"/>
      <c r="K545" s="14"/>
      <c r="L545" s="14"/>
      <c r="M545" s="14"/>
      <c r="N545" s="14"/>
      <c r="O545" s="14"/>
      <c r="P545" s="14"/>
    </row>
    <row r="546" spans="7:16">
      <c r="G546" s="14"/>
      <c r="H546" s="14"/>
      <c r="I546" s="14"/>
      <c r="J546" s="14"/>
      <c r="K546" s="14"/>
      <c r="L546" s="14"/>
      <c r="M546" s="14"/>
      <c r="N546" s="14"/>
      <c r="O546" s="14"/>
      <c r="P546" s="14"/>
    </row>
    <row r="547" spans="7:16">
      <c r="G547" s="14"/>
      <c r="H547" s="14"/>
      <c r="I547" s="14"/>
      <c r="J547" s="14"/>
      <c r="K547" s="14"/>
      <c r="L547" s="14"/>
      <c r="M547" s="14"/>
      <c r="N547" s="14"/>
      <c r="O547" s="14"/>
      <c r="P547" s="14"/>
    </row>
    <row r="548" spans="7:16">
      <c r="G548" s="14"/>
      <c r="H548" s="14"/>
      <c r="I548" s="14"/>
      <c r="J548" s="14"/>
      <c r="K548" s="14"/>
      <c r="L548" s="14"/>
      <c r="M548" s="14"/>
      <c r="N548" s="14"/>
      <c r="O548" s="14"/>
      <c r="P548" s="14"/>
    </row>
    <row r="549" spans="7:16">
      <c r="G549" s="14"/>
      <c r="H549" s="14"/>
      <c r="I549" s="14"/>
      <c r="J549" s="14"/>
      <c r="K549" s="14"/>
      <c r="L549" s="14"/>
      <c r="M549" s="14"/>
      <c r="N549" s="14"/>
      <c r="O549" s="14"/>
      <c r="P549" s="14"/>
    </row>
    <row r="550" spans="7:16">
      <c r="G550" s="14"/>
      <c r="H550" s="14"/>
      <c r="I550" s="14"/>
      <c r="J550" s="14"/>
      <c r="K550" s="14"/>
      <c r="L550" s="14"/>
      <c r="M550" s="14"/>
      <c r="N550" s="14"/>
      <c r="O550" s="14"/>
      <c r="P550" s="14"/>
    </row>
    <row r="551" spans="7:16">
      <c r="G551" s="14"/>
      <c r="H551" s="14"/>
      <c r="I551" s="14"/>
      <c r="J551" s="14"/>
      <c r="K551" s="14"/>
      <c r="L551" s="14"/>
      <c r="M551" s="14"/>
      <c r="N551" s="14"/>
      <c r="O551" s="14"/>
      <c r="P551" s="14"/>
    </row>
    <row r="552" spans="7:16">
      <c r="G552" s="14"/>
      <c r="H552" s="14"/>
      <c r="I552" s="14"/>
      <c r="J552" s="14"/>
      <c r="K552" s="14"/>
      <c r="L552" s="14"/>
      <c r="M552" s="14"/>
      <c r="N552" s="14"/>
      <c r="O552" s="14"/>
      <c r="P552" s="14"/>
    </row>
    <row r="553" spans="7:16">
      <c r="G553" s="14"/>
      <c r="H553" s="14"/>
      <c r="I553" s="14"/>
      <c r="J553" s="14"/>
      <c r="K553" s="14"/>
      <c r="L553" s="14"/>
      <c r="M553" s="14"/>
      <c r="N553" s="14"/>
      <c r="O553" s="14"/>
      <c r="P553" s="14"/>
    </row>
  </sheetData>
  <mergeCells count="2">
    <mergeCell ref="G1:P2"/>
    <mergeCell ref="J5:L5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5BFE-9870-E84E-AE98-68CFE39CA70A}">
  <dimension ref="A1:AC208"/>
  <sheetViews>
    <sheetView showGridLines="0" zoomScale="125" zoomScaleNormal="90" workbookViewId="0">
      <pane ySplit="4" topLeftCell="A14" activePane="bottomLeft" state="frozen"/>
      <selection activeCell="H31" sqref="H31"/>
      <selection pane="bottomLeft" activeCell="D31" sqref="D31"/>
    </sheetView>
  </sheetViews>
  <sheetFormatPr baseColWidth="10" defaultColWidth="8.83203125" defaultRowHeight="16"/>
  <cols>
    <col min="1" max="2" width="5.6640625" style="13" customWidth="1"/>
    <col min="3" max="3" width="34.33203125" style="13" bestFit="1" customWidth="1"/>
    <col min="4" max="4" width="15.83203125" style="13" bestFit="1" customWidth="1"/>
    <col min="5" max="5" width="21.5" style="13" customWidth="1"/>
    <col min="6" max="6" width="13.5" style="13" bestFit="1" customWidth="1"/>
    <col min="7" max="8" width="11.6640625" style="13" bestFit="1" customWidth="1"/>
    <col min="9" max="9" width="12.6640625" style="13" bestFit="1" customWidth="1"/>
    <col min="10" max="10" width="12.1640625" style="13" customWidth="1"/>
    <col min="11" max="11" width="11.33203125" style="13" customWidth="1"/>
    <col min="12" max="12" width="14.33203125" style="13" customWidth="1"/>
    <col min="13" max="13" width="11.5" style="13" customWidth="1"/>
    <col min="14" max="14" width="12" customWidth="1"/>
    <col min="15" max="15" width="11.1640625" customWidth="1"/>
    <col min="16" max="16" width="17.33203125" style="13" customWidth="1"/>
    <col min="17" max="17" width="36.1640625" style="13" customWidth="1"/>
    <col min="18" max="18" width="9.6640625" style="13" customWidth="1"/>
    <col min="19" max="19" width="8.83203125" style="13"/>
    <col min="20" max="20" width="17.5" style="13" customWidth="1"/>
    <col min="21" max="21" width="18.6640625" style="13" customWidth="1"/>
    <col min="22" max="22" width="9.5" style="13" bestFit="1" customWidth="1"/>
    <col min="23" max="16384" width="8.83203125" style="13"/>
  </cols>
  <sheetData>
    <row r="1" spans="1:29" ht="21">
      <c r="A1" s="38" t="s">
        <v>22</v>
      </c>
    </row>
    <row r="2" spans="1:29">
      <c r="A2" s="30"/>
    </row>
    <row r="3" spans="1:29" ht="6" customHeight="1"/>
    <row r="4" spans="1:29">
      <c r="A4" s="85"/>
      <c r="B4" s="86"/>
      <c r="C4" s="86"/>
      <c r="D4" s="86"/>
      <c r="E4" s="87"/>
      <c r="F4" s="87"/>
      <c r="G4" s="87"/>
      <c r="H4" s="87"/>
      <c r="I4" s="87"/>
      <c r="J4" s="87"/>
      <c r="K4" s="87"/>
      <c r="L4" s="87"/>
      <c r="M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</row>
    <row r="5" spans="1:29">
      <c r="M5"/>
      <c r="O5" s="13"/>
      <c r="Q5" s="89"/>
    </row>
    <row r="6" spans="1:29" ht="13">
      <c r="A6" s="16" t="s">
        <v>215</v>
      </c>
      <c r="D6" s="13">
        <v>0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/>
      <c r="P6" s="60" t="s">
        <v>289</v>
      </c>
      <c r="Q6" s="148">
        <v>2.206E-2</v>
      </c>
    </row>
    <row r="7" spans="1:29" ht="13">
      <c r="B7" s="90" t="s">
        <v>296</v>
      </c>
      <c r="C7" s="90"/>
      <c r="D7" s="90">
        <v>2023</v>
      </c>
      <c r="E7" s="90">
        <v>2024</v>
      </c>
      <c r="F7" s="90">
        <v>2025</v>
      </c>
      <c r="G7" s="90">
        <v>2026</v>
      </c>
      <c r="H7" s="90">
        <v>2027</v>
      </c>
      <c r="I7" s="90">
        <v>2028</v>
      </c>
      <c r="J7" s="90">
        <v>2029</v>
      </c>
      <c r="K7" s="90">
        <v>2030</v>
      </c>
      <c r="L7" s="90">
        <v>2031</v>
      </c>
      <c r="M7" s="90">
        <v>2032</v>
      </c>
      <c r="N7" s="90">
        <v>2033</v>
      </c>
      <c r="O7" s="13"/>
      <c r="P7" s="60" t="s">
        <v>290</v>
      </c>
      <c r="Q7" s="13">
        <v>0.88</v>
      </c>
    </row>
    <row r="8" spans="1:29" ht="13">
      <c r="B8" s="13" t="s">
        <v>216</v>
      </c>
      <c r="D8" s="54">
        <f>FinModel!I104</f>
        <v>108908</v>
      </c>
      <c r="E8" s="54">
        <f>FinModel!J104</f>
        <v>133099.69768273283</v>
      </c>
      <c r="F8" s="54">
        <f>FinModel!K104</f>
        <v>168033.50095208827</v>
      </c>
      <c r="G8" s="145">
        <f>F8*(1+Q11)</f>
        <v>171058.10396922586</v>
      </c>
      <c r="H8" s="141">
        <f>G8*(1+Q11)</f>
        <v>174137.14984067192</v>
      </c>
      <c r="I8" s="141">
        <f t="shared" ref="I8:N8" si="0">H8*(1+$Q$11)</f>
        <v>177271.61853780402</v>
      </c>
      <c r="J8" s="141">
        <f t="shared" si="0"/>
        <v>180462.50767148449</v>
      </c>
      <c r="K8" s="141">
        <f t="shared" si="0"/>
        <v>183710.83280957121</v>
      </c>
      <c r="L8" s="141">
        <f t="shared" si="0"/>
        <v>187017.6278001435</v>
      </c>
      <c r="M8" s="141">
        <f t="shared" si="0"/>
        <v>190383.94510054609</v>
      </c>
      <c r="N8" s="141">
        <f t="shared" si="0"/>
        <v>193810.85611235592</v>
      </c>
      <c r="O8" s="13"/>
      <c r="P8" s="13" t="s">
        <v>291</v>
      </c>
      <c r="Q8" s="21">
        <v>4.5699999999999998E-2</v>
      </c>
    </row>
    <row r="9" spans="1:29" ht="13">
      <c r="B9" s="13" t="s">
        <v>287</v>
      </c>
      <c r="D9" s="146">
        <f>FinModel!I107+FinModel!I106</f>
        <v>-38896</v>
      </c>
      <c r="E9" s="146">
        <f>FinModel!J107+FinModel!J106</f>
        <v>-46470</v>
      </c>
      <c r="F9" s="146">
        <f>FinModel!K107+FinModel!K106</f>
        <v>-61360</v>
      </c>
      <c r="G9" s="146">
        <f>F9</f>
        <v>-61360</v>
      </c>
      <c r="H9" s="48">
        <f>G9</f>
        <v>-61360</v>
      </c>
      <c r="I9" s="48">
        <f>H9</f>
        <v>-61360</v>
      </c>
      <c r="J9" s="48">
        <f t="shared" ref="J9:N9" si="1">I9</f>
        <v>-61360</v>
      </c>
      <c r="K9" s="48">
        <f t="shared" si="1"/>
        <v>-61360</v>
      </c>
      <c r="L9" s="48">
        <f t="shared" si="1"/>
        <v>-61360</v>
      </c>
      <c r="M9" s="48">
        <f t="shared" si="1"/>
        <v>-61360</v>
      </c>
      <c r="N9" s="48">
        <f t="shared" si="1"/>
        <v>-61360</v>
      </c>
      <c r="O9" s="13"/>
      <c r="P9" s="91" t="s">
        <v>218</v>
      </c>
      <c r="Q9" s="154">
        <f>Q6+(Q7*(Q8-Q6))</f>
        <v>4.2863199999999997E-2</v>
      </c>
    </row>
    <row r="10" spans="1:29" ht="14" thickBot="1">
      <c r="B10" s="92" t="s">
        <v>219</v>
      </c>
      <c r="C10" s="92"/>
      <c r="D10" s="147">
        <f>D8+D9</f>
        <v>70012</v>
      </c>
      <c r="E10" s="147">
        <f t="shared" ref="E10:I10" si="2">E8+E9</f>
        <v>86629.697682732833</v>
      </c>
      <c r="F10" s="147">
        <f>F8+F9</f>
        <v>106673.50095208827</v>
      </c>
      <c r="G10" s="147">
        <f t="shared" si="2"/>
        <v>109698.10396922586</v>
      </c>
      <c r="H10" s="147">
        <f t="shared" si="2"/>
        <v>112777.14984067192</v>
      </c>
      <c r="I10" s="147">
        <f t="shared" si="2"/>
        <v>115911.61853780402</v>
      </c>
      <c r="J10" s="147">
        <f t="shared" ref="J10" si="3">J8+J9</f>
        <v>119102.50767148449</v>
      </c>
      <c r="K10" s="147">
        <f t="shared" ref="K10" si="4">K8+K9</f>
        <v>122350.83280957121</v>
      </c>
      <c r="L10" s="147">
        <f t="shared" ref="L10" si="5">L8+L9</f>
        <v>125657.6278001435</v>
      </c>
      <c r="M10" s="147">
        <f t="shared" ref="M10" si="6">M8+M9</f>
        <v>129023.94510054609</v>
      </c>
      <c r="N10" s="147">
        <f t="shared" ref="N10" si="7">N8+N9</f>
        <v>132450.85611235592</v>
      </c>
      <c r="O10" s="13"/>
    </row>
    <row r="11" spans="1:29" ht="17" thickTop="1">
      <c r="B11" s="17" t="s">
        <v>220</v>
      </c>
      <c r="C11" s="17"/>
      <c r="D11" s="91">
        <f>1/(1+$T$41)^D6</f>
        <v>1</v>
      </c>
      <c r="E11" s="91">
        <f t="shared" ref="E11:N11" si="8">1/(1+$T$41)^E6</f>
        <v>0.95900699563853775</v>
      </c>
      <c r="F11" s="91">
        <f t="shared" si="8"/>
        <v>0.91969441768365434</v>
      </c>
      <c r="G11" s="91">
        <f t="shared" si="8"/>
        <v>0.88199338040833586</v>
      </c>
      <c r="H11" s="91">
        <f t="shared" si="8"/>
        <v>0.84583782191847601</v>
      </c>
      <c r="I11" s="91">
        <f t="shared" si="8"/>
        <v>0.81116438839548222</v>
      </c>
      <c r="J11" s="91">
        <f t="shared" si="8"/>
        <v>0.77791232308412339</v>
      </c>
      <c r="K11" s="91">
        <f t="shared" si="8"/>
        <v>0.74602335983110069</v>
      </c>
      <c r="L11" s="91">
        <f t="shared" si="8"/>
        <v>0.71544162098779163</v>
      </c>
      <c r="M11" s="91">
        <f t="shared" si="8"/>
        <v>0.68611351949826749</v>
      </c>
      <c r="N11" s="91">
        <f t="shared" si="8"/>
        <v>0.6579876650010168</v>
      </c>
      <c r="O11" s="13"/>
      <c r="P11" s="60" t="s">
        <v>286</v>
      </c>
      <c r="Q11" s="15">
        <v>1.7999999999999999E-2</v>
      </c>
    </row>
    <row r="12" spans="1:29" ht="13">
      <c r="B12" s="17" t="s">
        <v>221</v>
      </c>
      <c r="C12" s="17"/>
      <c r="D12" s="140">
        <f>D11*D10</f>
        <v>70012</v>
      </c>
      <c r="E12" s="140">
        <f t="shared" ref="E12:H12" si="9">E11*E10</f>
        <v>83078.486107792414</v>
      </c>
      <c r="F12" s="140">
        <f t="shared" si="9"/>
        <v>98107.02334040757</v>
      </c>
      <c r="G12" s="140">
        <f t="shared" si="9"/>
        <v>96753.001544202605</v>
      </c>
      <c r="H12" s="140">
        <f t="shared" si="9"/>
        <v>95391.178783407537</v>
      </c>
      <c r="I12" s="140">
        <f>I11*I10</f>
        <v>94023.377159148236</v>
      </c>
      <c r="J12" s="140">
        <f t="shared" ref="J12:N12" si="10">J11*J10</f>
        <v>92651.308427869124</v>
      </c>
      <c r="K12" s="140">
        <f t="shared" si="10"/>
        <v>91276.579370729582</v>
      </c>
      <c r="L12" s="140">
        <f t="shared" si="10"/>
        <v>89900.696922815259</v>
      </c>
      <c r="M12" s="140">
        <f t="shared" si="10"/>
        <v>88525.073072486921</v>
      </c>
      <c r="N12" s="140">
        <f t="shared" si="10"/>
        <v>87151.029540754724</v>
      </c>
      <c r="O12" s="13"/>
    </row>
    <row r="13" spans="1:29">
      <c r="M13"/>
      <c r="O13" s="13"/>
    </row>
    <row r="14" spans="1:29">
      <c r="M14"/>
      <c r="O14" s="13"/>
      <c r="P14" s="149" t="s">
        <v>292</v>
      </c>
      <c r="Q14" s="150">
        <f>FinModel!I56+FinModel!I64</f>
        <v>27006</v>
      </c>
    </row>
    <row r="15" spans="1:29">
      <c r="M15"/>
      <c r="O15" s="13"/>
      <c r="P15" s="149" t="s">
        <v>293</v>
      </c>
      <c r="Q15" s="142"/>
    </row>
    <row r="16" spans="1:29">
      <c r="B16" s="17" t="s">
        <v>222</v>
      </c>
      <c r="C16" s="17"/>
      <c r="D16" s="142">
        <f>SUM(D12:N12)</f>
        <v>986869.75426961412</v>
      </c>
      <c r="F16" s="17"/>
      <c r="M16"/>
      <c r="O16" s="13"/>
      <c r="P16" s="151" t="s">
        <v>294</v>
      </c>
      <c r="Q16" s="152">
        <f>FinModel!I238/'Valuation 10y'!Q14</f>
        <v>3.1289343108938751E-2</v>
      </c>
    </row>
    <row r="17" spans="2:22">
      <c r="B17" s="17" t="s">
        <v>223</v>
      </c>
      <c r="C17" s="17"/>
      <c r="D17" s="142">
        <f>(N10*(1+Q11))/(Q9-Q11)</f>
        <v>5423073.9213929959</v>
      </c>
      <c r="M17"/>
      <c r="O17" s="13"/>
      <c r="P17" s="149"/>
      <c r="Q17" s="74"/>
    </row>
    <row r="18" spans="2:22">
      <c r="B18" s="17" t="s">
        <v>224</v>
      </c>
      <c r="C18" s="17"/>
      <c r="D18" s="142">
        <f>D17/(1+Q9)^10</f>
        <v>3564282.3378355089</v>
      </c>
      <c r="M18"/>
      <c r="O18" s="13"/>
      <c r="P18" s="149" t="s">
        <v>50</v>
      </c>
      <c r="Q18" s="153">
        <f>-FinModel!I228</f>
        <v>0.20053690505760743</v>
      </c>
    </row>
    <row r="19" spans="2:22" ht="17" thickBot="1">
      <c r="B19" s="92" t="s">
        <v>297</v>
      </c>
      <c r="C19" s="92"/>
      <c r="D19" s="159">
        <f>D18+D16</f>
        <v>4551152.0921051232</v>
      </c>
      <c r="M19"/>
      <c r="O19" s="13"/>
      <c r="P19" s="149"/>
      <c r="Q19" s="149"/>
    </row>
    <row r="20" spans="2:22" ht="17" thickTop="1">
      <c r="M20"/>
      <c r="O20" s="13"/>
    </row>
    <row r="21" spans="2:22" ht="18">
      <c r="B21" s="13" t="s">
        <v>300</v>
      </c>
      <c r="D21" s="155">
        <f>D19/4465</f>
        <v>1019.294981434518</v>
      </c>
      <c r="E21" s="156"/>
      <c r="M21"/>
      <c r="O21" s="13"/>
    </row>
    <row r="22" spans="2:22">
      <c r="B22" s="13" t="s">
        <v>299</v>
      </c>
      <c r="D22" s="74">
        <f>D21/912-1</f>
        <v>0.11764800595890135</v>
      </c>
      <c r="E22" s="73"/>
      <c r="M22"/>
      <c r="O22" s="13"/>
    </row>
    <row r="23" spans="2:22">
      <c r="M23"/>
      <c r="O23" s="13"/>
      <c r="P23" t="s">
        <v>306</v>
      </c>
      <c r="Q23"/>
      <c r="R23"/>
      <c r="S23"/>
      <c r="T23"/>
    </row>
    <row r="24" spans="2:22">
      <c r="M24"/>
      <c r="O24" s="13"/>
      <c r="P24" t="s">
        <v>307</v>
      </c>
      <c r="Q24"/>
      <c r="R24"/>
      <c r="S24"/>
      <c r="T24"/>
    </row>
    <row r="25" spans="2:22">
      <c r="B25" s="60" t="s">
        <v>226</v>
      </c>
      <c r="M25"/>
      <c r="O25" s="13"/>
      <c r="P25"/>
      <c r="Q25"/>
      <c r="R25"/>
      <c r="S25"/>
      <c r="T25"/>
      <c r="U25"/>
    </row>
    <row r="26" spans="2:22">
      <c r="B26" s="90" t="s">
        <v>296</v>
      </c>
      <c r="C26" s="90"/>
      <c r="D26" s="90">
        <v>2019</v>
      </c>
      <c r="E26" s="90">
        <v>2020</v>
      </c>
      <c r="F26" s="90">
        <v>2021</v>
      </c>
      <c r="G26" s="90">
        <v>2022</v>
      </c>
      <c r="H26" s="90">
        <v>2023</v>
      </c>
      <c r="I26" s="90">
        <v>2024</v>
      </c>
      <c r="J26" s="90">
        <v>2025</v>
      </c>
      <c r="K26" s="90" t="s">
        <v>227</v>
      </c>
      <c r="M26"/>
      <c r="O26" s="13"/>
      <c r="P26" s="160" t="s">
        <v>295</v>
      </c>
      <c r="Q26" s="161"/>
      <c r="R26" s="161"/>
      <c r="S26" s="161"/>
      <c r="T26" s="161"/>
      <c r="U26"/>
    </row>
    <row r="27" spans="2:22">
      <c r="B27" s="13" t="s">
        <v>228</v>
      </c>
      <c r="D27" s="143">
        <f>-D35</f>
        <v>-4045608</v>
      </c>
      <c r="E27" s="143"/>
      <c r="F27" s="143"/>
      <c r="G27" s="143"/>
      <c r="H27" s="143"/>
      <c r="I27" s="143"/>
      <c r="J27" s="143"/>
      <c r="K27" s="143"/>
      <c r="M27"/>
      <c r="O27" s="13"/>
      <c r="P27" t="s">
        <v>315</v>
      </c>
      <c r="Q27"/>
      <c r="R27"/>
      <c r="S27"/>
      <c r="T27" s="4">
        <v>4060000000000</v>
      </c>
      <c r="U27" s="4">
        <v>4060000</v>
      </c>
      <c r="V27" s="13" t="s">
        <v>317</v>
      </c>
    </row>
    <row r="28" spans="2:22">
      <c r="B28" s="13" t="s">
        <v>219</v>
      </c>
      <c r="D28" s="143"/>
      <c r="E28" s="143">
        <f t="shared" ref="E28:J28" si="11">D10</f>
        <v>70012</v>
      </c>
      <c r="F28" s="143">
        <f t="shared" si="11"/>
        <v>86629.697682732833</v>
      </c>
      <c r="G28" s="143">
        <f t="shared" si="11"/>
        <v>106673.50095208827</v>
      </c>
      <c r="H28" s="143">
        <f t="shared" si="11"/>
        <v>109698.10396922586</v>
      </c>
      <c r="I28" s="143">
        <f t="shared" si="11"/>
        <v>112777.14984067192</v>
      </c>
      <c r="J28" s="143">
        <f t="shared" si="11"/>
        <v>115911.61853780402</v>
      </c>
      <c r="K28" s="143">
        <f>D17</f>
        <v>5423073.9213929959</v>
      </c>
      <c r="M28"/>
      <c r="O28" s="13"/>
      <c r="P28" t="s">
        <v>308</v>
      </c>
      <c r="Q28"/>
      <c r="R28"/>
      <c r="S28"/>
      <c r="T28" s="162">
        <f>T27/(T27+T34)</f>
        <v>0.99339222893237744</v>
      </c>
      <c r="U28"/>
    </row>
    <row r="29" spans="2:22">
      <c r="M29"/>
      <c r="O29" s="13"/>
      <c r="P29" t="s">
        <v>218</v>
      </c>
      <c r="Q29"/>
      <c r="R29"/>
      <c r="S29"/>
      <c r="T29" s="162">
        <f>T30+T31*T32</f>
        <v>4.2863199999999997E-2</v>
      </c>
      <c r="U29"/>
    </row>
    <row r="30" spans="2:22">
      <c r="B30" s="17"/>
      <c r="M30"/>
      <c r="O30" s="13"/>
      <c r="P30" t="s">
        <v>309</v>
      </c>
      <c r="Q30"/>
      <c r="R30"/>
      <c r="S30"/>
      <c r="T30" s="163">
        <f>Q6</f>
        <v>2.206E-2</v>
      </c>
      <c r="U30"/>
    </row>
    <row r="31" spans="2:22">
      <c r="B31" s="13" t="s">
        <v>230</v>
      </c>
      <c r="D31" s="60"/>
      <c r="M31"/>
      <c r="O31" s="13"/>
      <c r="P31" t="s">
        <v>217</v>
      </c>
      <c r="Q31"/>
      <c r="R31"/>
      <c r="S31"/>
      <c r="T31" s="164">
        <f>Q7</f>
        <v>0.88</v>
      </c>
      <c r="U31"/>
    </row>
    <row r="32" spans="2:22">
      <c r="B32" s="13" t="s">
        <v>231</v>
      </c>
      <c r="D32" s="60"/>
      <c r="M32"/>
      <c r="O32" s="13"/>
      <c r="P32" t="s">
        <v>310</v>
      </c>
      <c r="Q32"/>
      <c r="R32"/>
      <c r="S32"/>
      <c r="T32" s="163">
        <f>Q8-Q6</f>
        <v>2.3639999999999998E-2</v>
      </c>
      <c r="U32"/>
    </row>
    <row r="33" spans="2:21">
      <c r="B33" s="13" t="s">
        <v>232</v>
      </c>
      <c r="D33" s="143">
        <f>U27+Q14-FinModel!I37</f>
        <v>4072614</v>
      </c>
      <c r="E33" s="13" t="s">
        <v>316</v>
      </c>
      <c r="M33"/>
      <c r="O33" s="13"/>
      <c r="P33"/>
      <c r="Q33"/>
      <c r="R33"/>
      <c r="S33"/>
      <c r="T33"/>
      <c r="U33"/>
    </row>
    <row r="34" spans="2:21">
      <c r="B34" s="13" t="s">
        <v>233</v>
      </c>
      <c r="D34" s="144">
        <f>-Q14</f>
        <v>-27006</v>
      </c>
      <c r="M34"/>
      <c r="O34" s="13"/>
      <c r="P34" t="s">
        <v>311</v>
      </c>
      <c r="Q34"/>
      <c r="R34"/>
      <c r="S34"/>
      <c r="T34" s="165">
        <v>27006000000</v>
      </c>
      <c r="U34"/>
    </row>
    <row r="35" spans="2:21">
      <c r="B35" s="17" t="s">
        <v>297</v>
      </c>
      <c r="C35" s="17"/>
      <c r="D35" s="141">
        <f>D33+D34</f>
        <v>4045608</v>
      </c>
      <c r="M35"/>
      <c r="O35" s="13"/>
      <c r="P35" t="s">
        <v>312</v>
      </c>
      <c r="Q35"/>
      <c r="R35"/>
      <c r="S35"/>
      <c r="T35" s="162">
        <f>T34/(T27+T34)</f>
        <v>6.6077710676226073E-3</v>
      </c>
      <c r="U35"/>
    </row>
    <row r="36" spans="2:21">
      <c r="D36" s="60"/>
      <c r="M36"/>
      <c r="O36" s="13"/>
      <c r="P36" t="s">
        <v>313</v>
      </c>
      <c r="Q36"/>
      <c r="R36"/>
      <c r="S36"/>
      <c r="T36" s="163">
        <f>Q16</f>
        <v>3.1289343108938751E-2</v>
      </c>
      <c r="U36"/>
    </row>
    <row r="37" spans="2:21">
      <c r="B37" s="93" t="s">
        <v>234</v>
      </c>
      <c r="C37" s="93"/>
      <c r="D37" s="94">
        <f>IRR(D27:K28)</f>
        <v>6.1843826002666358E-2</v>
      </c>
      <c r="M37"/>
      <c r="O37" s="13"/>
      <c r="P37" t="s">
        <v>314</v>
      </c>
      <c r="Q37"/>
      <c r="R37"/>
      <c r="S37"/>
      <c r="T37" s="163">
        <f>Q18</f>
        <v>0.20053690505760743</v>
      </c>
      <c r="U37"/>
    </row>
    <row r="38" spans="2:21">
      <c r="M38"/>
      <c r="O38" s="13"/>
      <c r="P38"/>
      <c r="Q38"/>
      <c r="R38"/>
      <c r="S38"/>
      <c r="T38"/>
      <c r="U38"/>
    </row>
    <row r="39" spans="2:21">
      <c r="G39" s="13" t="s">
        <v>302</v>
      </c>
      <c r="H39" s="142">
        <v>545982.68000000005</v>
      </c>
      <c r="M39"/>
      <c r="O39" s="13"/>
      <c r="P39" t="s">
        <v>180</v>
      </c>
      <c r="Q39"/>
      <c r="R39"/>
      <c r="S39"/>
      <c r="T39" s="4">
        <f>T27+T34</f>
        <v>4087006000000</v>
      </c>
      <c r="U39"/>
    </row>
    <row r="40" spans="2:21">
      <c r="B40" s="13" t="s">
        <v>235</v>
      </c>
      <c r="G40" s="13" t="s">
        <v>303</v>
      </c>
      <c r="H40" s="142">
        <v>4442011.95</v>
      </c>
      <c r="M40"/>
      <c r="O40" s="13"/>
      <c r="P40"/>
      <c r="Q40"/>
      <c r="R40"/>
      <c r="S40"/>
      <c r="T40"/>
      <c r="U40"/>
    </row>
    <row r="41" spans="2:21">
      <c r="G41" s="13" t="s">
        <v>304</v>
      </c>
      <c r="H41" s="142">
        <v>3595355.432</v>
      </c>
      <c r="M41"/>
      <c r="O41" s="13"/>
      <c r="P41" t="s">
        <v>295</v>
      </c>
      <c r="Q41"/>
      <c r="R41"/>
      <c r="S41"/>
      <c r="T41" s="162">
        <f>T28*T29+(T35*T36*(1-T37))</f>
        <v>4.2745261033437759E-2</v>
      </c>
      <c r="U41"/>
    </row>
    <row r="42" spans="2:21">
      <c r="B42" s="13" t="s">
        <v>236</v>
      </c>
      <c r="G42" s="13" t="s">
        <v>305</v>
      </c>
      <c r="H42" s="155">
        <f>H39+H41</f>
        <v>4141338.1120000002</v>
      </c>
      <c r="M42"/>
      <c r="O42" s="13"/>
      <c r="U42"/>
    </row>
    <row r="43" spans="2:21">
      <c r="B43" s="90" t="s">
        <v>237</v>
      </c>
      <c r="C43" s="90" t="s">
        <v>238</v>
      </c>
      <c r="D43" s="90" t="s">
        <v>239</v>
      </c>
      <c r="E43" s="90" t="s">
        <v>240</v>
      </c>
      <c r="H43" s="155">
        <f>H42/4465</f>
        <v>927.51133527435616</v>
      </c>
      <c r="M43"/>
      <c r="O43" s="13"/>
      <c r="U43"/>
    </row>
    <row r="44" spans="2:21">
      <c r="B44" s="95" t="s">
        <v>241</v>
      </c>
      <c r="C44" s="96">
        <v>14.56</v>
      </c>
      <c r="D44" s="96">
        <v>9.9499999999999993</v>
      </c>
      <c r="E44" s="97">
        <v>0.29874315832150822</v>
      </c>
      <c r="H44" s="155">
        <f>H43/912-1</f>
        <v>1.7008043063986955E-2</v>
      </c>
      <c r="M44"/>
      <c r="O44" s="13"/>
    </row>
    <row r="45" spans="2:21">
      <c r="B45" s="98" t="s">
        <v>242</v>
      </c>
      <c r="C45" s="99">
        <v>11.864000000000001</v>
      </c>
      <c r="D45" s="99">
        <v>9.6790000000000003</v>
      </c>
      <c r="E45" s="100">
        <v>0.31191271800867237</v>
      </c>
      <c r="M45"/>
      <c r="O45" s="13"/>
    </row>
    <row r="46" spans="2:21">
      <c r="B46" s="98" t="s">
        <v>243</v>
      </c>
      <c r="C46" s="99">
        <v>8.0779999999999994</v>
      </c>
      <c r="D46" s="99">
        <v>4.0019999999999998</v>
      </c>
      <c r="E46" s="100">
        <v>0.31336711991496696</v>
      </c>
      <c r="M46"/>
      <c r="O46" s="13"/>
    </row>
    <row r="47" spans="2:21">
      <c r="B47" s="98" t="s">
        <v>244</v>
      </c>
      <c r="C47" s="99">
        <v>11.766</v>
      </c>
      <c r="D47" s="99">
        <v>5.931</v>
      </c>
      <c r="E47" s="100">
        <v>0.28517460163704172</v>
      </c>
      <c r="M47"/>
      <c r="O47" s="13"/>
    </row>
    <row r="48" spans="2:21">
      <c r="B48" s="98" t="s">
        <v>245</v>
      </c>
      <c r="C48" s="99">
        <v>14.259</v>
      </c>
      <c r="D48" s="99">
        <v>10.425000000000001</v>
      </c>
      <c r="E48" s="100">
        <v>0.3153279381650903</v>
      </c>
      <c r="M48"/>
      <c r="O48" s="13"/>
    </row>
    <row r="49" spans="2:15">
      <c r="B49" s="101" t="s">
        <v>246</v>
      </c>
      <c r="C49" s="99">
        <v>14.426</v>
      </c>
      <c r="D49" s="99">
        <v>8.9649999999999999</v>
      </c>
      <c r="E49" s="100">
        <v>0.24619148424175766</v>
      </c>
      <c r="M49"/>
      <c r="O49" s="13"/>
    </row>
    <row r="50" spans="2:15" ht="30.75" customHeight="1">
      <c r="B50" s="101" t="s">
        <v>247</v>
      </c>
      <c r="C50" s="14">
        <f>AVERAGE(C44:C49)</f>
        <v>12.492166666666664</v>
      </c>
      <c r="D50" s="14">
        <f t="shared" ref="D50" si="12">AVERAGE(D44:D49)</f>
        <v>8.158666666666667</v>
      </c>
      <c r="E50" s="102">
        <f>AVERAGE(E44:E49)</f>
        <v>0.29511950338150622</v>
      </c>
      <c r="M50"/>
      <c r="O50" s="13"/>
    </row>
    <row r="51" spans="2:15">
      <c r="M51"/>
      <c r="O51" s="13"/>
    </row>
    <row r="52" spans="2:15">
      <c r="B52" s="88" t="s">
        <v>248</v>
      </c>
      <c r="C52" s="103"/>
      <c r="M52"/>
      <c r="O52" s="13"/>
    </row>
    <row r="53" spans="2:15">
      <c r="B53" s="104" t="s">
        <v>249</v>
      </c>
      <c r="C53" s="60">
        <f>[3]FinModel!K21</f>
        <v>10.423915169389904</v>
      </c>
      <c r="M53"/>
      <c r="O53" s="13"/>
    </row>
    <row r="54" spans="2:15" ht="197">
      <c r="B54" s="105" t="s">
        <v>250</v>
      </c>
      <c r="C54" s="60">
        <f>D50</f>
        <v>8.158666666666667</v>
      </c>
      <c r="M54"/>
      <c r="O54" s="13"/>
    </row>
    <row r="55" spans="2:15" ht="43">
      <c r="B55" s="105" t="s">
        <v>232</v>
      </c>
      <c r="C55" s="60">
        <f>C53*C54</f>
        <v>85.045249228662428</v>
      </c>
      <c r="M55"/>
      <c r="O55" s="13"/>
    </row>
    <row r="56" spans="2:15">
      <c r="B56" s="104" t="s">
        <v>251</v>
      </c>
      <c r="C56" s="60">
        <f>[3]FinModel!K49</f>
        <v>26.4495</v>
      </c>
      <c r="M56"/>
      <c r="O56" s="13"/>
    </row>
    <row r="57" spans="2:15">
      <c r="B57" s="106" t="s">
        <v>252</v>
      </c>
      <c r="C57" s="107">
        <f>C55-C56</f>
        <v>58.595749228662427</v>
      </c>
      <c r="M57"/>
      <c r="O57" s="13"/>
    </row>
    <row r="58" spans="2:15">
      <c r="M58"/>
      <c r="O58" s="13"/>
    </row>
    <row r="59" spans="2:15">
      <c r="M59"/>
      <c r="O59" s="13"/>
    </row>
    <row r="60" spans="2:15">
      <c r="B60" s="88" t="s">
        <v>253</v>
      </c>
      <c r="C60" s="103"/>
      <c r="M60"/>
      <c r="O60" s="13"/>
    </row>
    <row r="61" spans="2:15">
      <c r="B61" s="104" t="s">
        <v>254</v>
      </c>
      <c r="C61" s="60">
        <f>[3]FinModel!K29</f>
        <v>6.2350906422500598</v>
      </c>
      <c r="M61"/>
      <c r="O61" s="13"/>
    </row>
    <row r="62" spans="2:15" ht="155">
      <c r="B62" s="105" t="s">
        <v>255</v>
      </c>
      <c r="C62" s="14">
        <f>C50</f>
        <v>12.492166666666664</v>
      </c>
      <c r="M62"/>
      <c r="O62" s="13"/>
    </row>
    <row r="63" spans="2:15">
      <c r="B63" s="106" t="s">
        <v>225</v>
      </c>
      <c r="C63" s="107">
        <f>C61*C62</f>
        <v>77.889791484761446</v>
      </c>
      <c r="M63"/>
      <c r="O63" s="13"/>
    </row>
    <row r="64" spans="2:15">
      <c r="M64"/>
      <c r="O64" s="13"/>
    </row>
    <row r="65" spans="13:15">
      <c r="M65"/>
      <c r="O65" s="13"/>
    </row>
    <row r="66" spans="13:15">
      <c r="M66"/>
      <c r="O66" s="13"/>
    </row>
    <row r="67" spans="13:15">
      <c r="M67"/>
      <c r="O67" s="13"/>
    </row>
    <row r="68" spans="13:15">
      <c r="M68"/>
      <c r="O68" s="13"/>
    </row>
    <row r="69" spans="13:15">
      <c r="M69"/>
      <c r="O69" s="13"/>
    </row>
    <row r="70" spans="13:15">
      <c r="M70"/>
      <c r="O70" s="13"/>
    </row>
    <row r="71" spans="13:15">
      <c r="M71"/>
      <c r="O71" s="13"/>
    </row>
    <row r="72" spans="13:15">
      <c r="M72"/>
      <c r="O72" s="13"/>
    </row>
    <row r="73" spans="13:15">
      <c r="M73"/>
      <c r="O73" s="13"/>
    </row>
    <row r="74" spans="13:15">
      <c r="M74"/>
      <c r="O74" s="13"/>
    </row>
    <row r="75" spans="13:15">
      <c r="M75"/>
      <c r="O75" s="13"/>
    </row>
    <row r="76" spans="13:15">
      <c r="M76"/>
      <c r="O76" s="13"/>
    </row>
    <row r="77" spans="13:15">
      <c r="M77"/>
      <c r="O77" s="13"/>
    </row>
    <row r="78" spans="13:15">
      <c r="M78"/>
      <c r="O78" s="13"/>
    </row>
    <row r="79" spans="13:15">
      <c r="M79"/>
      <c r="O79" s="13"/>
    </row>
    <row r="80" spans="13:15">
      <c r="M80"/>
      <c r="O80" s="13"/>
    </row>
    <row r="81" spans="13:15">
      <c r="M81"/>
      <c r="O81" s="13"/>
    </row>
    <row r="82" spans="13:15">
      <c r="M82"/>
      <c r="O82" s="13"/>
    </row>
    <row r="83" spans="13:15">
      <c r="M83"/>
      <c r="O83" s="13"/>
    </row>
    <row r="84" spans="13:15">
      <c r="M84"/>
      <c r="O84" s="13"/>
    </row>
    <row r="85" spans="13:15">
      <c r="M85"/>
      <c r="O85" s="13"/>
    </row>
    <row r="86" spans="13:15">
      <c r="M86"/>
      <c r="O86" s="13"/>
    </row>
    <row r="87" spans="13:15">
      <c r="M87"/>
      <c r="O87" s="13"/>
    </row>
    <row r="88" spans="13:15">
      <c r="M88"/>
      <c r="O88" s="13"/>
    </row>
    <row r="89" spans="13:15">
      <c r="M89"/>
      <c r="O89" s="13"/>
    </row>
    <row r="90" spans="13:15">
      <c r="M90"/>
      <c r="O90" s="13"/>
    </row>
    <row r="91" spans="13:15">
      <c r="M91"/>
      <c r="O91" s="13"/>
    </row>
    <row r="92" spans="13:15">
      <c r="M92"/>
      <c r="O92" s="13"/>
    </row>
    <row r="93" spans="13:15">
      <c r="M93"/>
      <c r="O93" s="13"/>
    </row>
    <row r="94" spans="13:15">
      <c r="M94"/>
      <c r="O94" s="13"/>
    </row>
    <row r="95" spans="13:15">
      <c r="M95"/>
      <c r="O95" s="13"/>
    </row>
    <row r="96" spans="13:15">
      <c r="M96"/>
      <c r="O96" s="13"/>
    </row>
    <row r="97" spans="13:15">
      <c r="M97"/>
      <c r="O97" s="13"/>
    </row>
    <row r="98" spans="13:15">
      <c r="M98"/>
      <c r="O98" s="13"/>
    </row>
    <row r="99" spans="13:15">
      <c r="M99"/>
      <c r="O99" s="13"/>
    </row>
    <row r="100" spans="13:15">
      <c r="M100"/>
      <c r="O100" s="13"/>
    </row>
    <row r="101" spans="13:15">
      <c r="M101"/>
      <c r="O101" s="13"/>
    </row>
    <row r="102" spans="13:15">
      <c r="M102"/>
      <c r="O102" s="13"/>
    </row>
    <row r="103" spans="13:15">
      <c r="M103"/>
      <c r="O103" s="13"/>
    </row>
    <row r="104" spans="13:15">
      <c r="M104"/>
      <c r="O104" s="13"/>
    </row>
    <row r="105" spans="13:15">
      <c r="M105"/>
      <c r="O105" s="13"/>
    </row>
    <row r="106" spans="13:15">
      <c r="M106"/>
      <c r="O106" s="13"/>
    </row>
    <row r="107" spans="13:15">
      <c r="M107"/>
      <c r="O107" s="13"/>
    </row>
    <row r="108" spans="13:15">
      <c r="M108"/>
      <c r="O108" s="13"/>
    </row>
    <row r="109" spans="13:15">
      <c r="M109"/>
      <c r="O109" s="13"/>
    </row>
    <row r="110" spans="13:15">
      <c r="M110"/>
      <c r="O110" s="13"/>
    </row>
    <row r="111" spans="13:15">
      <c r="M111"/>
      <c r="O111" s="13"/>
    </row>
    <row r="112" spans="13:15">
      <c r="M112"/>
      <c r="O112" s="13"/>
    </row>
    <row r="113" spans="13:15">
      <c r="M113"/>
      <c r="O113" s="13"/>
    </row>
    <row r="114" spans="13:15">
      <c r="M114"/>
      <c r="O114" s="13"/>
    </row>
    <row r="115" spans="13:15">
      <c r="M115"/>
      <c r="O115" s="13"/>
    </row>
    <row r="116" spans="13:15">
      <c r="M116"/>
      <c r="O116" s="13"/>
    </row>
    <row r="117" spans="13:15">
      <c r="M117"/>
      <c r="O117" s="13"/>
    </row>
    <row r="118" spans="13:15">
      <c r="M118"/>
      <c r="O118" s="13"/>
    </row>
    <row r="119" spans="13:15">
      <c r="M119"/>
      <c r="O119" s="13"/>
    </row>
    <row r="120" spans="13:15">
      <c r="M120"/>
      <c r="O120" s="13"/>
    </row>
    <row r="121" spans="13:15">
      <c r="M121"/>
      <c r="O121" s="13"/>
    </row>
    <row r="122" spans="13:15">
      <c r="M122"/>
      <c r="O122" s="13"/>
    </row>
    <row r="123" spans="13:15">
      <c r="M123"/>
      <c r="O123" s="13"/>
    </row>
    <row r="124" spans="13:15">
      <c r="M124"/>
      <c r="O124" s="13"/>
    </row>
    <row r="125" spans="13:15">
      <c r="M125"/>
      <c r="O125" s="13"/>
    </row>
    <row r="126" spans="13:15">
      <c r="M126"/>
      <c r="O126" s="13"/>
    </row>
    <row r="127" spans="13:15">
      <c r="M127"/>
      <c r="O127" s="13"/>
    </row>
    <row r="128" spans="13:15">
      <c r="M128"/>
      <c r="O128" s="13"/>
    </row>
    <row r="129" spans="13:15">
      <c r="M129"/>
      <c r="O129" s="13"/>
    </row>
    <row r="130" spans="13:15">
      <c r="M130"/>
      <c r="O130" s="13"/>
    </row>
    <row r="131" spans="13:15">
      <c r="M131"/>
      <c r="O131" s="13"/>
    </row>
    <row r="132" spans="13:15">
      <c r="M132"/>
      <c r="O132" s="13"/>
    </row>
    <row r="133" spans="13:15">
      <c r="M133"/>
      <c r="O133" s="13"/>
    </row>
    <row r="134" spans="13:15">
      <c r="M134"/>
      <c r="O134" s="13"/>
    </row>
    <row r="135" spans="13:15">
      <c r="M135"/>
      <c r="O135" s="13"/>
    </row>
    <row r="136" spans="13:15">
      <c r="M136"/>
      <c r="O136" s="13"/>
    </row>
    <row r="137" spans="13:15">
      <c r="M137"/>
      <c r="O137" s="13"/>
    </row>
    <row r="138" spans="13:15">
      <c r="M138"/>
      <c r="O138" s="13"/>
    </row>
    <row r="139" spans="13:15">
      <c r="M139"/>
      <c r="O139" s="13"/>
    </row>
    <row r="140" spans="13:15">
      <c r="M140"/>
      <c r="O140" s="13"/>
    </row>
    <row r="141" spans="13:15">
      <c r="M141"/>
      <c r="O141" s="13"/>
    </row>
    <row r="142" spans="13:15">
      <c r="M142"/>
      <c r="O142" s="13"/>
    </row>
    <row r="143" spans="13:15">
      <c r="M143"/>
      <c r="O143" s="13"/>
    </row>
    <row r="144" spans="13:15">
      <c r="M144"/>
      <c r="O144" s="13"/>
    </row>
    <row r="145" spans="13:15">
      <c r="M145"/>
      <c r="O145" s="13"/>
    </row>
    <row r="146" spans="13:15">
      <c r="M146"/>
      <c r="O146" s="13"/>
    </row>
    <row r="147" spans="13:15">
      <c r="M147"/>
      <c r="O147" s="13"/>
    </row>
    <row r="148" spans="13:15">
      <c r="M148"/>
      <c r="O148" s="13"/>
    </row>
    <row r="149" spans="13:15">
      <c r="M149"/>
      <c r="O149" s="13"/>
    </row>
    <row r="150" spans="13:15">
      <c r="M150"/>
      <c r="O150" s="13"/>
    </row>
    <row r="151" spans="13:15">
      <c r="M151"/>
      <c r="O151" s="13"/>
    </row>
    <row r="152" spans="13:15">
      <c r="M152"/>
      <c r="O152" s="13"/>
    </row>
    <row r="153" spans="13:15">
      <c r="M153"/>
      <c r="O153" s="13"/>
    </row>
    <row r="154" spans="13:15">
      <c r="M154"/>
      <c r="O154" s="13"/>
    </row>
    <row r="155" spans="13:15">
      <c r="M155"/>
      <c r="O155" s="13"/>
    </row>
    <row r="156" spans="13:15">
      <c r="M156"/>
      <c r="O156" s="13"/>
    </row>
    <row r="157" spans="13:15">
      <c r="M157"/>
      <c r="O157" s="13"/>
    </row>
    <row r="158" spans="13:15">
      <c r="M158"/>
      <c r="O158" s="13"/>
    </row>
    <row r="159" spans="13:15">
      <c r="M159"/>
      <c r="O159" s="13"/>
    </row>
    <row r="160" spans="13:15">
      <c r="M160"/>
      <c r="O160" s="13"/>
    </row>
    <row r="161" spans="13:15">
      <c r="M161"/>
      <c r="O161" s="13"/>
    </row>
    <row r="162" spans="13:15">
      <c r="M162"/>
      <c r="O162" s="13"/>
    </row>
    <row r="163" spans="13:15">
      <c r="M163"/>
      <c r="O163" s="13"/>
    </row>
    <row r="164" spans="13:15">
      <c r="M164"/>
      <c r="O164" s="13"/>
    </row>
    <row r="165" spans="13:15">
      <c r="M165"/>
      <c r="O165" s="13"/>
    </row>
    <row r="166" spans="13:15">
      <c r="M166"/>
      <c r="O166" s="13"/>
    </row>
    <row r="167" spans="13:15">
      <c r="M167"/>
      <c r="O167" s="13"/>
    </row>
    <row r="168" spans="13:15">
      <c r="M168"/>
      <c r="O168" s="13"/>
    </row>
    <row r="169" spans="13:15">
      <c r="M169"/>
      <c r="O169" s="13"/>
    </row>
    <row r="170" spans="13:15">
      <c r="M170"/>
      <c r="O170" s="13"/>
    </row>
    <row r="171" spans="13:15">
      <c r="M171"/>
      <c r="O171" s="13"/>
    </row>
    <row r="172" spans="13:15">
      <c r="M172"/>
      <c r="O172" s="13"/>
    </row>
    <row r="173" spans="13:15">
      <c r="M173"/>
      <c r="O173" s="13"/>
    </row>
    <row r="174" spans="13:15">
      <c r="M174"/>
      <c r="O174" s="13"/>
    </row>
    <row r="175" spans="13:15">
      <c r="M175"/>
      <c r="O175" s="13"/>
    </row>
    <row r="176" spans="13:15">
      <c r="M176"/>
      <c r="O176" s="13"/>
    </row>
    <row r="177" spans="13:15">
      <c r="M177"/>
      <c r="O177" s="13"/>
    </row>
    <row r="178" spans="13:15">
      <c r="M178"/>
      <c r="O178" s="13"/>
    </row>
    <row r="179" spans="13:15">
      <c r="M179"/>
      <c r="O179" s="13"/>
    </row>
    <row r="180" spans="13:15">
      <c r="M180"/>
      <c r="O180" s="13"/>
    </row>
    <row r="181" spans="13:15">
      <c r="M181"/>
      <c r="O181" s="13"/>
    </row>
    <row r="182" spans="13:15">
      <c r="M182"/>
      <c r="O182" s="13"/>
    </row>
    <row r="183" spans="13:15">
      <c r="M183"/>
      <c r="O183" s="13"/>
    </row>
    <row r="184" spans="13:15">
      <c r="M184"/>
      <c r="O184" s="13"/>
    </row>
    <row r="185" spans="13:15">
      <c r="M185"/>
      <c r="O185" s="13"/>
    </row>
    <row r="186" spans="13:15">
      <c r="M186"/>
      <c r="O186" s="13"/>
    </row>
    <row r="187" spans="13:15">
      <c r="M187"/>
      <c r="O187" s="13"/>
    </row>
    <row r="188" spans="13:15">
      <c r="M188"/>
      <c r="O188" s="13"/>
    </row>
    <row r="189" spans="13:15">
      <c r="M189"/>
      <c r="O189" s="13"/>
    </row>
    <row r="190" spans="13:15">
      <c r="M190"/>
      <c r="O190" s="13"/>
    </row>
    <row r="191" spans="13:15">
      <c r="M191"/>
      <c r="O191" s="13"/>
    </row>
    <row r="192" spans="13:15">
      <c r="M192"/>
      <c r="O192" s="13"/>
    </row>
    <row r="193" spans="13:15">
      <c r="M193"/>
      <c r="O193" s="13"/>
    </row>
    <row r="194" spans="13:15">
      <c r="M194"/>
      <c r="O194" s="13"/>
    </row>
    <row r="195" spans="13:15">
      <c r="M195"/>
      <c r="O195" s="13"/>
    </row>
    <row r="196" spans="13:15">
      <c r="M196"/>
      <c r="O196" s="13"/>
    </row>
    <row r="197" spans="13:15">
      <c r="M197"/>
      <c r="O197" s="13"/>
    </row>
    <row r="198" spans="13:15">
      <c r="M198"/>
      <c r="O198" s="13"/>
    </row>
    <row r="199" spans="13:15">
      <c r="M199"/>
      <c r="O199" s="13"/>
    </row>
    <row r="200" spans="13:15">
      <c r="M200"/>
      <c r="O200" s="13"/>
    </row>
    <row r="201" spans="13:15">
      <c r="M201"/>
      <c r="O201" s="13"/>
    </row>
    <row r="202" spans="13:15">
      <c r="M202"/>
      <c r="O202" s="13"/>
    </row>
    <row r="203" spans="13:15">
      <c r="M203"/>
      <c r="O203" s="13"/>
    </row>
    <row r="204" spans="13:15">
      <c r="M204"/>
      <c r="O204" s="13"/>
    </row>
    <row r="205" spans="13:15">
      <c r="M205"/>
      <c r="O205" s="13"/>
    </row>
    <row r="206" spans="13:15">
      <c r="M206"/>
      <c r="O206" s="13"/>
    </row>
    <row r="207" spans="13:15">
      <c r="M207"/>
      <c r="O207" s="13"/>
    </row>
    <row r="208" spans="13:15">
      <c r="M208"/>
      <c r="O208" s="13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6DFD-98A4-354E-99BB-559587CDDAE3}">
  <dimension ref="A1:G35"/>
  <sheetViews>
    <sheetView showGridLines="0" zoomScale="125" workbookViewId="0">
      <selection activeCell="A35" sqref="A35"/>
    </sheetView>
  </sheetViews>
  <sheetFormatPr baseColWidth="10" defaultRowHeight="16"/>
  <cols>
    <col min="1" max="1" width="47" customWidth="1"/>
    <col min="2" max="7" width="12.83203125" customWidth="1"/>
  </cols>
  <sheetData>
    <row r="1" spans="1:7">
      <c r="A1" s="109" t="s">
        <v>256</v>
      </c>
      <c r="B1" s="110">
        <v>2021</v>
      </c>
      <c r="C1" s="111">
        <v>2022</v>
      </c>
      <c r="D1" s="111">
        <v>2023</v>
      </c>
      <c r="E1" s="112">
        <v>2024</v>
      </c>
      <c r="F1" s="112">
        <v>2025</v>
      </c>
      <c r="G1" s="112">
        <v>2026</v>
      </c>
    </row>
    <row r="2" spans="1:7">
      <c r="A2" s="113" t="s">
        <v>257</v>
      </c>
      <c r="B2" s="114"/>
      <c r="C2" s="114"/>
      <c r="D2" s="115"/>
      <c r="E2" s="116">
        <v>37959</v>
      </c>
      <c r="F2" s="116">
        <v>40152</v>
      </c>
      <c r="G2" s="116">
        <v>42492</v>
      </c>
    </row>
    <row r="3" spans="1:7">
      <c r="A3" s="113" t="s">
        <v>258</v>
      </c>
      <c r="B3" s="117"/>
      <c r="C3" s="118"/>
      <c r="D3" s="119"/>
      <c r="E3" s="120">
        <v>5.7299999999999997E-2</v>
      </c>
      <c r="F3" s="120">
        <v>5.7799999999999997E-2</v>
      </c>
      <c r="G3" s="120">
        <v>5.8299999999999998E-2</v>
      </c>
    </row>
    <row r="4" spans="1:7">
      <c r="A4" s="113" t="s">
        <v>259</v>
      </c>
      <c r="B4" s="114"/>
      <c r="C4" s="114"/>
      <c r="D4" s="115"/>
      <c r="E4" s="116">
        <v>7848</v>
      </c>
      <c r="F4" s="116">
        <v>8337</v>
      </c>
      <c r="G4" s="116">
        <v>8837</v>
      </c>
    </row>
    <row r="5" spans="1:7">
      <c r="A5" s="113" t="s">
        <v>260</v>
      </c>
      <c r="B5" s="114"/>
      <c r="C5" s="114"/>
      <c r="D5" s="115"/>
      <c r="E5" s="116">
        <v>6415</v>
      </c>
      <c r="F5" s="116">
        <v>6937</v>
      </c>
      <c r="G5" s="116">
        <v>7466</v>
      </c>
    </row>
    <row r="6" spans="1:7">
      <c r="A6" s="113" t="s">
        <v>261</v>
      </c>
      <c r="B6" s="114"/>
      <c r="C6" s="114"/>
      <c r="D6" s="115"/>
      <c r="E6" s="116">
        <v>5950</v>
      </c>
      <c r="F6" s="116">
        <v>6505</v>
      </c>
      <c r="G6" s="116">
        <v>7063</v>
      </c>
    </row>
    <row r="7" spans="1:7">
      <c r="A7" s="113" t="s">
        <v>262</v>
      </c>
      <c r="B7" s="114"/>
      <c r="C7" s="114"/>
      <c r="D7" s="115"/>
      <c r="E7" s="116">
        <v>3915</v>
      </c>
      <c r="F7" s="116">
        <v>4341</v>
      </c>
      <c r="G7" s="116">
        <v>4769</v>
      </c>
    </row>
    <row r="8" spans="1:7">
      <c r="A8" s="113" t="s">
        <v>263</v>
      </c>
      <c r="B8" s="121"/>
      <c r="C8" s="121"/>
      <c r="D8" s="121"/>
      <c r="E8" s="122">
        <v>8.25</v>
      </c>
      <c r="F8" s="123">
        <v>9.02</v>
      </c>
      <c r="G8" s="123">
        <v>9.7799999999999994</v>
      </c>
    </row>
    <row r="9" spans="1:7">
      <c r="A9" s="113" t="s">
        <v>264</v>
      </c>
      <c r="B9" s="121"/>
      <c r="C9" s="121"/>
      <c r="D9" s="124"/>
      <c r="E9" s="125">
        <v>52.64</v>
      </c>
      <c r="F9" s="125">
        <v>57.13</v>
      </c>
      <c r="G9" s="125">
        <v>62</v>
      </c>
    </row>
    <row r="10" spans="1:7">
      <c r="A10" s="113" t="s">
        <v>265</v>
      </c>
      <c r="B10" s="121"/>
      <c r="C10" s="121"/>
      <c r="D10" s="124"/>
      <c r="E10" s="125">
        <v>4.1399999999999997</v>
      </c>
      <c r="F10" s="125">
        <v>4.53</v>
      </c>
      <c r="G10" s="125">
        <v>4.91</v>
      </c>
    </row>
    <row r="11" spans="1:7">
      <c r="A11" s="113" t="s">
        <v>216</v>
      </c>
      <c r="B11" s="126"/>
      <c r="C11" s="126"/>
      <c r="D11" s="126"/>
      <c r="E11" s="127">
        <v>6330</v>
      </c>
      <c r="F11" s="128">
        <v>6082</v>
      </c>
      <c r="G11" s="128">
        <v>6458</v>
      </c>
    </row>
    <row r="12" spans="1:7">
      <c r="A12" s="113" t="s">
        <v>266</v>
      </c>
      <c r="B12" s="126"/>
      <c r="C12" s="126"/>
      <c r="D12" s="126"/>
      <c r="E12" s="127">
        <v>5132</v>
      </c>
      <c r="F12" s="128">
        <v>4884</v>
      </c>
      <c r="G12" s="128">
        <v>5260</v>
      </c>
    </row>
    <row r="13" spans="1:7">
      <c r="A13" s="129" t="s">
        <v>267</v>
      </c>
      <c r="B13" s="130">
        <v>2021</v>
      </c>
      <c r="C13" s="130">
        <v>2022</v>
      </c>
      <c r="D13" s="130">
        <v>2023</v>
      </c>
      <c r="E13" s="131">
        <v>2024</v>
      </c>
      <c r="F13" s="131">
        <v>2025</v>
      </c>
      <c r="G13" s="131">
        <v>2026</v>
      </c>
    </row>
    <row r="14" spans="1:7">
      <c r="A14" s="113" t="s">
        <v>268</v>
      </c>
      <c r="B14" s="121"/>
      <c r="C14" s="121"/>
      <c r="D14" s="124"/>
      <c r="E14" s="125">
        <v>27.49</v>
      </c>
      <c r="F14" s="125">
        <v>25.17</v>
      </c>
      <c r="G14" s="125">
        <v>23.2</v>
      </c>
    </row>
    <row r="15" spans="1:7">
      <c r="A15" s="132" t="s">
        <v>269</v>
      </c>
      <c r="B15" s="121"/>
      <c r="C15" s="121"/>
      <c r="D15" s="121"/>
      <c r="E15" s="133">
        <v>4.3099999999999996</v>
      </c>
      <c r="F15" s="125">
        <v>3.97</v>
      </c>
      <c r="G15" s="125">
        <v>3.66</v>
      </c>
    </row>
    <row r="16" spans="1:7">
      <c r="A16" s="113" t="s">
        <v>270</v>
      </c>
      <c r="B16" s="118"/>
      <c r="C16" s="118"/>
      <c r="D16" s="119"/>
      <c r="E16" s="120">
        <v>1.83E-2</v>
      </c>
      <c r="F16" s="120">
        <v>1.9900000000000001E-2</v>
      </c>
      <c r="G16" s="120">
        <v>2.1600000000000001E-2</v>
      </c>
    </row>
    <row r="17" spans="1:7">
      <c r="A17" s="113" t="s">
        <v>271</v>
      </c>
      <c r="B17" s="118"/>
      <c r="C17" s="118"/>
      <c r="D17" s="119"/>
      <c r="E17" s="120">
        <v>0.502</v>
      </c>
      <c r="F17" s="120">
        <v>0.502</v>
      </c>
      <c r="G17" s="120">
        <v>0.502</v>
      </c>
    </row>
    <row r="18" spans="1:7">
      <c r="A18" s="113" t="s">
        <v>272</v>
      </c>
      <c r="B18" s="118"/>
      <c r="C18" s="118"/>
      <c r="D18" s="119"/>
      <c r="E18" s="120">
        <v>0.20669999999999999</v>
      </c>
      <c r="F18" s="120">
        <v>0.20760000000000001</v>
      </c>
      <c r="G18" s="120">
        <v>0.20799999999999999</v>
      </c>
    </row>
    <row r="19" spans="1:7">
      <c r="A19" s="113" t="s">
        <v>273</v>
      </c>
      <c r="B19" s="118"/>
      <c r="C19" s="118"/>
      <c r="D19" s="119"/>
      <c r="E19" s="120">
        <v>0.16900000000000001</v>
      </c>
      <c r="F19" s="120">
        <v>0.17280000000000001</v>
      </c>
      <c r="G19" s="120">
        <v>0.1757</v>
      </c>
    </row>
    <row r="20" spans="1:7">
      <c r="A20" s="113" t="s">
        <v>274</v>
      </c>
      <c r="B20" s="118"/>
      <c r="C20" s="118"/>
      <c r="D20" s="119"/>
      <c r="E20" s="120">
        <v>0.15679999999999999</v>
      </c>
      <c r="F20" s="120">
        <v>0.16200000000000001</v>
      </c>
      <c r="G20" s="120">
        <v>0.16619999999999999</v>
      </c>
    </row>
    <row r="21" spans="1:7">
      <c r="A21" s="113" t="s">
        <v>275</v>
      </c>
      <c r="B21" s="134"/>
      <c r="C21" s="118"/>
      <c r="D21" s="119"/>
      <c r="E21" s="120">
        <v>0.1031</v>
      </c>
      <c r="F21" s="120">
        <v>0.1081</v>
      </c>
      <c r="G21" s="120">
        <v>0.11219999999999999</v>
      </c>
    </row>
    <row r="22" spans="1:7">
      <c r="A22" s="113" t="s">
        <v>276</v>
      </c>
      <c r="B22" s="118"/>
      <c r="C22" s="118"/>
      <c r="D22" s="119"/>
      <c r="E22" s="120">
        <v>0.15679999999999999</v>
      </c>
      <c r="F22" s="120">
        <v>0.1578</v>
      </c>
      <c r="G22" s="120">
        <v>0.15770000000000001</v>
      </c>
    </row>
    <row r="23" spans="1:7">
      <c r="A23" s="113" t="s">
        <v>277</v>
      </c>
      <c r="B23" s="118"/>
      <c r="C23" s="118"/>
      <c r="D23" s="119"/>
      <c r="E23" s="120">
        <v>7.6300000000000007E-2</v>
      </c>
      <c r="F23" s="120">
        <v>8.0600000000000005E-2</v>
      </c>
      <c r="G23" s="120">
        <v>8.43E-2</v>
      </c>
    </row>
    <row r="24" spans="1:7">
      <c r="A24" s="113" t="s">
        <v>278</v>
      </c>
      <c r="B24" s="114"/>
      <c r="C24" s="114"/>
      <c r="D24" s="115"/>
      <c r="E24" s="116">
        <v>6466</v>
      </c>
      <c r="F24" s="116">
        <v>4115</v>
      </c>
      <c r="G24" s="116">
        <v>1604</v>
      </c>
    </row>
    <row r="25" spans="1:7">
      <c r="A25" s="113" t="s">
        <v>279</v>
      </c>
      <c r="B25" s="121"/>
      <c r="C25" s="121"/>
      <c r="D25" s="121"/>
      <c r="E25" s="122">
        <v>0.43</v>
      </c>
      <c r="F25" s="123">
        <v>0.37</v>
      </c>
      <c r="G25" s="123">
        <v>0.31</v>
      </c>
    </row>
    <row r="26" spans="1:7">
      <c r="A26" s="135" t="s">
        <v>280</v>
      </c>
      <c r="B26" s="118"/>
      <c r="C26" s="118"/>
      <c r="D26" s="118"/>
      <c r="E26" s="136">
        <v>4.0399999999999998E-2</v>
      </c>
      <c r="F26" s="120">
        <v>3.8399999999999997E-2</v>
      </c>
      <c r="G26" s="120">
        <v>4.1399999999999999E-2</v>
      </c>
    </row>
    <row r="27" spans="1:7">
      <c r="A27" s="137"/>
      <c r="B27" s="137"/>
      <c r="C27" s="137"/>
      <c r="D27" s="137"/>
      <c r="E27" s="137"/>
      <c r="F27" s="137"/>
      <c r="G27" s="137"/>
    </row>
    <row r="28" spans="1:7">
      <c r="A28" s="138" t="s">
        <v>281</v>
      </c>
      <c r="B28" s="137"/>
      <c r="C28" s="137"/>
      <c r="D28" s="137"/>
      <c r="E28" s="137" t="s">
        <v>298</v>
      </c>
      <c r="F28" s="137"/>
      <c r="G28" s="137"/>
    </row>
    <row r="29" spans="1:7">
      <c r="A29" s="138" t="s">
        <v>282</v>
      </c>
      <c r="B29" s="139">
        <v>226.9</v>
      </c>
      <c r="C29" s="139">
        <v>226.9</v>
      </c>
      <c r="D29" s="139">
        <v>226.9</v>
      </c>
      <c r="E29" s="139">
        <v>226.9</v>
      </c>
      <c r="F29" s="139">
        <v>226.9</v>
      </c>
      <c r="G29" s="139">
        <v>226.9</v>
      </c>
    </row>
    <row r="31" spans="1:7">
      <c r="A31" t="s">
        <v>285</v>
      </c>
    </row>
    <row r="33" spans="1:1">
      <c r="A33" t="s">
        <v>301</v>
      </c>
    </row>
    <row r="35" spans="1:1" ht="18">
      <c r="A35" s="1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CF73-F287-A14B-9EFB-062C38689B09}">
  <dimension ref="B3:O76"/>
  <sheetViews>
    <sheetView zoomScale="104" workbookViewId="0">
      <selection activeCell="E16" sqref="E16"/>
    </sheetView>
  </sheetViews>
  <sheetFormatPr baseColWidth="10" defaultRowHeight="16"/>
  <cols>
    <col min="2" max="2" width="30.1640625" customWidth="1"/>
    <col min="7" max="7" width="13.1640625" customWidth="1"/>
    <col min="8" max="8" width="24.83203125" customWidth="1"/>
    <col min="9" max="9" width="14.5" customWidth="1"/>
    <col min="10" max="10" width="25.33203125" customWidth="1"/>
    <col min="14" max="14" width="12.83203125" customWidth="1"/>
    <col min="15" max="15" width="13.6640625" customWidth="1"/>
  </cols>
  <sheetData>
    <row r="3" spans="2:11">
      <c r="B3" s="8" t="s">
        <v>0</v>
      </c>
      <c r="G3" s="8" t="s">
        <v>1</v>
      </c>
      <c r="I3" t="s">
        <v>21</v>
      </c>
      <c r="J3" t="s">
        <v>20</v>
      </c>
    </row>
    <row r="4" spans="2:11">
      <c r="B4" t="s">
        <v>15</v>
      </c>
      <c r="C4" s="11">
        <v>0.93</v>
      </c>
      <c r="G4" t="s">
        <v>36</v>
      </c>
      <c r="H4" t="s">
        <v>18</v>
      </c>
      <c r="I4" t="s">
        <v>17</v>
      </c>
      <c r="J4" t="s">
        <v>19</v>
      </c>
    </row>
    <row r="5" spans="2:11">
      <c r="B5" t="s">
        <v>16</v>
      </c>
      <c r="C5" s="11">
        <v>7.0000000000000007E-2</v>
      </c>
      <c r="G5" s="4">
        <v>50867</v>
      </c>
      <c r="H5" s="4">
        <v>136629</v>
      </c>
      <c r="I5" s="4">
        <v>16687</v>
      </c>
      <c r="J5" s="4">
        <v>28078</v>
      </c>
      <c r="K5" s="4">
        <f>G5+H5+I5+J5</f>
        <v>232261</v>
      </c>
    </row>
    <row r="6" spans="2:11">
      <c r="G6">
        <f>G5/$K$5*100</f>
        <v>21.900792642759654</v>
      </c>
      <c r="H6">
        <f t="shared" ref="H6:J6" si="0">H5/$K$5*100</f>
        <v>58.825631509379541</v>
      </c>
      <c r="I6">
        <f t="shared" si="0"/>
        <v>7.1845897503239886</v>
      </c>
      <c r="J6">
        <f t="shared" si="0"/>
        <v>12.088986097536823</v>
      </c>
    </row>
    <row r="7" spans="2:11">
      <c r="B7" s="1">
        <v>0.93</v>
      </c>
      <c r="C7" s="1">
        <v>7.0000000000000007E-2</v>
      </c>
      <c r="D7" s="1"/>
      <c r="E7" s="1"/>
      <c r="G7" s="1"/>
      <c r="H7" s="1"/>
      <c r="I7" s="1"/>
    </row>
    <row r="8" spans="2:11">
      <c r="B8" s="10">
        <v>215098</v>
      </c>
      <c r="C8" s="10">
        <v>17163</v>
      </c>
      <c r="D8" s="12">
        <f>B8+C8</f>
        <v>232261</v>
      </c>
      <c r="G8">
        <f>FinModel!K104</f>
        <v>168033.50095208827</v>
      </c>
      <c r="H8">
        <f>G8*(1+O14)</f>
        <v>168033.50095208827</v>
      </c>
    </row>
    <row r="11" spans="2:11">
      <c r="F11">
        <f>1/(1+$O$12)^F6</f>
        <v>1</v>
      </c>
    </row>
    <row r="16" spans="2:11">
      <c r="E16">
        <f>SUM(E12:K12)</f>
        <v>0</v>
      </c>
    </row>
    <row r="17" spans="2:13">
      <c r="E17" t="e">
        <f>(K10*(1+O14))/(O12-O14)</f>
        <v>#DIV/0!</v>
      </c>
    </row>
    <row r="18" spans="2:13">
      <c r="E18" t="e">
        <f>E17/(1+O12)^6</f>
        <v>#DIV/0!</v>
      </c>
    </row>
    <row r="19" spans="2:13">
      <c r="E19" t="e">
        <f>E18+E16</f>
        <v>#DIV/0!</v>
      </c>
    </row>
    <row r="25" spans="2:13">
      <c r="B25" s="8" t="s">
        <v>2</v>
      </c>
      <c r="I25" s="168" t="s">
        <v>6</v>
      </c>
      <c r="J25" s="168"/>
      <c r="K25" t="s">
        <v>24</v>
      </c>
    </row>
    <row r="26" spans="2:13">
      <c r="B26" t="s">
        <v>3</v>
      </c>
      <c r="C26">
        <v>2019</v>
      </c>
      <c r="D26">
        <v>2020</v>
      </c>
      <c r="E26">
        <v>2021</v>
      </c>
      <c r="F26">
        <v>2022</v>
      </c>
      <c r="G26">
        <v>2023</v>
      </c>
      <c r="I26" t="s">
        <v>7</v>
      </c>
      <c r="J26" t="s">
        <v>26</v>
      </c>
      <c r="K26" t="s">
        <v>23</v>
      </c>
      <c r="L26" t="s">
        <v>22</v>
      </c>
      <c r="M26" t="s">
        <v>28</v>
      </c>
    </row>
    <row r="27" spans="2:13">
      <c r="B27" t="s">
        <v>4</v>
      </c>
      <c r="C27">
        <v>8.19</v>
      </c>
      <c r="D27">
        <v>9.01</v>
      </c>
      <c r="E27">
        <v>10.37</v>
      </c>
      <c r="F27">
        <v>12.22</v>
      </c>
      <c r="G27">
        <v>18.62</v>
      </c>
      <c r="I27" t="s">
        <v>8</v>
      </c>
      <c r="J27" s="2">
        <v>39.19</v>
      </c>
      <c r="K27" s="2">
        <v>21.46</v>
      </c>
      <c r="L27" s="2">
        <v>46.37</v>
      </c>
      <c r="M27" s="2">
        <v>85.2</v>
      </c>
    </row>
    <row r="28" spans="2:13">
      <c r="B28" t="s">
        <v>5</v>
      </c>
      <c r="C28" s="1"/>
      <c r="D28" s="1">
        <f>(D27-C27)/C27</f>
        <v>0.10012210012210017</v>
      </c>
      <c r="E28" s="1">
        <f t="shared" ref="E28:G28" si="1">(E27-D27)/D27</f>
        <v>0.15094339622641503</v>
      </c>
      <c r="F28" s="1">
        <f>(F27-E27)/E27</f>
        <v>0.17839922854387671</v>
      </c>
      <c r="G28" s="1">
        <f t="shared" si="1"/>
        <v>0.52373158756137483</v>
      </c>
    </row>
    <row r="30" spans="2:13">
      <c r="C30">
        <v>2018</v>
      </c>
    </row>
    <row r="31" spans="2:13">
      <c r="C31">
        <v>18.05</v>
      </c>
    </row>
    <row r="45" spans="2:10">
      <c r="F45" t="s">
        <v>14</v>
      </c>
      <c r="J45" t="s">
        <v>25</v>
      </c>
    </row>
    <row r="46" spans="2:10">
      <c r="F46" t="s">
        <v>29</v>
      </c>
    </row>
    <row r="48" spans="2:10">
      <c r="B48" s="8" t="s">
        <v>11</v>
      </c>
      <c r="J48" t="s">
        <v>27</v>
      </c>
    </row>
    <row r="49" spans="2:15">
      <c r="B49" t="s">
        <v>3</v>
      </c>
      <c r="C49">
        <v>2019</v>
      </c>
      <c r="D49">
        <v>2020</v>
      </c>
      <c r="E49">
        <v>2021</v>
      </c>
      <c r="F49">
        <v>2022</v>
      </c>
      <c r="G49">
        <v>2023</v>
      </c>
      <c r="H49" t="s">
        <v>12</v>
      </c>
    </row>
    <row r="50" spans="2:15">
      <c r="B50" t="s">
        <v>9</v>
      </c>
      <c r="C50" s="4">
        <v>122021</v>
      </c>
      <c r="D50" s="4">
        <v>126946</v>
      </c>
      <c r="E50" s="4">
        <v>140800</v>
      </c>
      <c r="F50" s="4">
        <v>176954</v>
      </c>
      <c r="G50" s="4">
        <v>232261</v>
      </c>
      <c r="H50" t="s">
        <v>13</v>
      </c>
    </row>
    <row r="51" spans="2:15">
      <c r="B51" t="s">
        <v>10</v>
      </c>
      <c r="C51" s="5">
        <v>9.0999999999999998E-2</v>
      </c>
      <c r="D51" s="5">
        <f>D53/100</f>
        <v>4.0361904918005918E-2</v>
      </c>
      <c r="E51" s="5">
        <f>E53/100</f>
        <v>0.10913301718841081</v>
      </c>
      <c r="F51" s="5">
        <f>F53/100</f>
        <v>0.25677556818181818</v>
      </c>
      <c r="G51" s="5">
        <f>G53/100</f>
        <v>0.31255015427738281</v>
      </c>
      <c r="K51" s="6"/>
      <c r="L51" s="6"/>
      <c r="M51" s="6"/>
      <c r="N51" s="6"/>
      <c r="O51" s="6"/>
    </row>
    <row r="52" spans="2:15">
      <c r="C52" s="7"/>
      <c r="D52" s="7"/>
      <c r="E52" s="7"/>
      <c r="F52" s="7"/>
      <c r="G52" s="7"/>
    </row>
    <row r="53" spans="2:15">
      <c r="D53">
        <f>((D50-C50)/C50)*100</f>
        <v>4.0361904918005918</v>
      </c>
      <c r="E53">
        <f>((E50-D50)/D50)*100</f>
        <v>10.913301718841081</v>
      </c>
      <c r="F53">
        <f>((F50-E50)/E50)*100</f>
        <v>25.677556818181817</v>
      </c>
      <c r="G53">
        <f>((G50-F50)/F50)*100</f>
        <v>31.255015427738282</v>
      </c>
    </row>
    <row r="54" spans="2:15">
      <c r="B54" s="3"/>
      <c r="C54" s="6">
        <v>9.0999999999999998E-2</v>
      </c>
      <c r="D54" s="6">
        <v>0.04</v>
      </c>
      <c r="E54" s="6">
        <v>0.109</v>
      </c>
      <c r="F54" s="6">
        <v>0.25700000000000001</v>
      </c>
      <c r="G54" s="6">
        <v>0.313</v>
      </c>
    </row>
    <row r="55" spans="2:15">
      <c r="C55">
        <v>2018</v>
      </c>
    </row>
    <row r="57" spans="2:15">
      <c r="J57" s="8" t="s">
        <v>34</v>
      </c>
    </row>
    <row r="58" spans="2:15">
      <c r="J58" t="s">
        <v>30</v>
      </c>
      <c r="K58">
        <v>2023</v>
      </c>
      <c r="L58">
        <v>2032</v>
      </c>
    </row>
    <row r="59" spans="2:15">
      <c r="J59" t="s">
        <v>33</v>
      </c>
      <c r="K59" t="s">
        <v>31</v>
      </c>
      <c r="L59" t="s">
        <v>32</v>
      </c>
    </row>
    <row r="74" spans="2:10">
      <c r="B74" t="s">
        <v>35</v>
      </c>
    </row>
    <row r="76" spans="2:10">
      <c r="H76" t="s">
        <v>37</v>
      </c>
      <c r="I76" t="s">
        <v>38</v>
      </c>
      <c r="J76" t="s">
        <v>39</v>
      </c>
    </row>
  </sheetData>
  <mergeCells count="1">
    <mergeCell ref="I25:J25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0A93-EE4F-5841-B113-CB5BB4748E20}">
  <dimension ref="A1:AC63"/>
  <sheetViews>
    <sheetView showGridLines="0" topLeftCell="D1" zoomScale="125" zoomScaleNormal="90" workbookViewId="0">
      <pane ySplit="4" topLeftCell="A5" activePane="bottomLeft" state="frozen"/>
      <selection activeCell="H31" sqref="H31"/>
      <selection pane="bottomLeft" activeCell="O14" sqref="O14"/>
    </sheetView>
  </sheetViews>
  <sheetFormatPr baseColWidth="10" defaultColWidth="8.83203125" defaultRowHeight="13"/>
  <cols>
    <col min="1" max="2" width="5.6640625" style="13" customWidth="1"/>
    <col min="3" max="3" width="34.33203125" style="13" bestFit="1" customWidth="1"/>
    <col min="4" max="4" width="15.83203125" style="13" bestFit="1" customWidth="1"/>
    <col min="5" max="5" width="21.5" style="13" customWidth="1"/>
    <col min="6" max="6" width="13.5" style="13" bestFit="1" customWidth="1"/>
    <col min="7" max="8" width="11.6640625" style="13" bestFit="1" customWidth="1"/>
    <col min="9" max="9" width="12.6640625" style="13" bestFit="1" customWidth="1"/>
    <col min="10" max="10" width="12.1640625" style="13" customWidth="1"/>
    <col min="11" max="11" width="11.33203125" style="13" customWidth="1"/>
    <col min="12" max="12" width="14.33203125" style="13" customWidth="1"/>
    <col min="13" max="13" width="11.5" style="13" customWidth="1"/>
    <col min="14" max="14" width="36.1640625" style="13" customWidth="1"/>
    <col min="15" max="15" width="9.6640625" style="13" customWidth="1"/>
    <col min="16" max="16" width="17.33203125" style="13" customWidth="1"/>
    <col min="17" max="17" width="16.6640625" style="13" customWidth="1"/>
    <col min="18" max="16384" width="8.83203125" style="13"/>
  </cols>
  <sheetData>
    <row r="1" spans="1:29" ht="21">
      <c r="A1" s="38" t="s">
        <v>22</v>
      </c>
    </row>
    <row r="2" spans="1:29">
      <c r="A2" s="30"/>
    </row>
    <row r="3" spans="1:29" ht="6" customHeight="1"/>
    <row r="4" spans="1:29" ht="14">
      <c r="A4" s="85"/>
      <c r="B4" s="86"/>
      <c r="C4" s="86"/>
      <c r="D4" s="86"/>
      <c r="E4" s="87"/>
      <c r="F4" s="87"/>
      <c r="G4" s="87"/>
      <c r="H4" s="87"/>
      <c r="I4" s="87"/>
      <c r="J4" s="87"/>
      <c r="K4" s="87"/>
      <c r="L4" s="87"/>
      <c r="M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</row>
    <row r="5" spans="1:29">
      <c r="N5" s="13" t="s">
        <v>288</v>
      </c>
      <c r="O5" s="89"/>
    </row>
    <row r="6" spans="1:29">
      <c r="B6" s="16" t="s">
        <v>215</v>
      </c>
      <c r="E6" s="13">
        <v>0</v>
      </c>
      <c r="F6" s="13">
        <v>1</v>
      </c>
      <c r="G6" s="13">
        <v>2</v>
      </c>
      <c r="H6" s="13">
        <v>3</v>
      </c>
      <c r="I6" s="13">
        <v>4</v>
      </c>
      <c r="J6" s="13">
        <v>5</v>
      </c>
      <c r="N6" s="89"/>
      <c r="O6" s="89"/>
    </row>
    <row r="7" spans="1:29">
      <c r="C7" s="90" t="s">
        <v>296</v>
      </c>
      <c r="D7" s="90"/>
      <c r="E7" s="90">
        <v>2023</v>
      </c>
      <c r="F7" s="90">
        <v>2024</v>
      </c>
      <c r="G7" s="90">
        <v>2025</v>
      </c>
      <c r="H7" s="90">
        <v>2026</v>
      </c>
      <c r="I7" s="90">
        <v>2027</v>
      </c>
      <c r="J7" s="90">
        <v>2028</v>
      </c>
      <c r="K7" s="90"/>
      <c r="L7" s="90"/>
      <c r="N7" s="89"/>
      <c r="O7" s="89"/>
    </row>
    <row r="8" spans="1:29">
      <c r="C8" s="13" t="s">
        <v>216</v>
      </c>
      <c r="E8" s="54">
        <f>FinModel!I104</f>
        <v>108908</v>
      </c>
      <c r="F8" s="54">
        <f>FinModel!J104</f>
        <v>133099.69768273283</v>
      </c>
      <c r="G8" s="54">
        <f>FinModel!K104</f>
        <v>168033.50095208827</v>
      </c>
      <c r="H8" s="145">
        <f>G8*(1+O14)</f>
        <v>171058.10396922586</v>
      </c>
      <c r="I8" s="141">
        <f>H8*(1+O14)</f>
        <v>174137.14984067192</v>
      </c>
      <c r="J8" s="141">
        <f>I8*(1+$O$14)</f>
        <v>177271.61853780402</v>
      </c>
      <c r="K8" s="141"/>
      <c r="L8" s="141"/>
      <c r="N8" s="89"/>
      <c r="O8" s="89"/>
    </row>
    <row r="9" spans="1:29">
      <c r="C9" s="13" t="s">
        <v>287</v>
      </c>
      <c r="E9" s="146">
        <f>FinModel!I107+FinModel!I106</f>
        <v>-38896</v>
      </c>
      <c r="F9" s="146">
        <f>FinModel!J107+FinModel!J106</f>
        <v>-46470</v>
      </c>
      <c r="G9" s="146">
        <f>FinModel!K107+FinModel!K106</f>
        <v>-61360</v>
      </c>
      <c r="H9" s="146">
        <f>G9</f>
        <v>-61360</v>
      </c>
      <c r="I9" s="48">
        <f>H9</f>
        <v>-61360</v>
      </c>
      <c r="J9" s="48">
        <f>I9</f>
        <v>-61360</v>
      </c>
      <c r="K9" s="48"/>
      <c r="L9" s="48"/>
      <c r="N9" s="60" t="s">
        <v>289</v>
      </c>
      <c r="O9" s="148">
        <v>2.206E-2</v>
      </c>
    </row>
    <row r="10" spans="1:29" ht="14" thickBot="1">
      <c r="C10" s="92" t="s">
        <v>219</v>
      </c>
      <c r="D10" s="92"/>
      <c r="E10" s="147">
        <f>E8+E9</f>
        <v>70012</v>
      </c>
      <c r="F10" s="147">
        <f t="shared" ref="F10:J10" si="0">F8+F9</f>
        <v>86629.697682732833</v>
      </c>
      <c r="G10" s="147">
        <f>G8+G9</f>
        <v>106673.50095208827</v>
      </c>
      <c r="H10" s="147">
        <f t="shared" si="0"/>
        <v>109698.10396922586</v>
      </c>
      <c r="I10" s="147">
        <f t="shared" si="0"/>
        <v>112777.14984067192</v>
      </c>
      <c r="J10" s="147">
        <f t="shared" si="0"/>
        <v>115911.61853780402</v>
      </c>
      <c r="K10" s="147"/>
      <c r="L10" s="147"/>
      <c r="N10" s="60" t="s">
        <v>290</v>
      </c>
      <c r="O10" s="13">
        <v>0.88</v>
      </c>
    </row>
    <row r="11" spans="1:29" ht="14" thickTop="1">
      <c r="C11" s="17" t="s">
        <v>220</v>
      </c>
      <c r="D11" s="17"/>
      <c r="E11" s="91">
        <f t="shared" ref="E11:J11" si="1">1/(1+$O$12)^E6</f>
        <v>1</v>
      </c>
      <c r="F11" s="91">
        <f t="shared" si="1"/>
        <v>0.95889854009615072</v>
      </c>
      <c r="G11" s="91">
        <f t="shared" si="1"/>
        <v>0.91948641019852917</v>
      </c>
      <c r="H11" s="91">
        <f t="shared" si="1"/>
        <v>0.88169417637761993</v>
      </c>
      <c r="I11" s="91">
        <f t="shared" si="1"/>
        <v>0.84545525853977777</v>
      </c>
      <c r="J11" s="91">
        <f t="shared" si="1"/>
        <v>0.81070581313040646</v>
      </c>
      <c r="K11" s="91"/>
      <c r="L11" s="91"/>
      <c r="N11" s="13" t="s">
        <v>291</v>
      </c>
      <c r="O11" s="21">
        <v>4.5699999999999998E-2</v>
      </c>
    </row>
    <row r="12" spans="1:29">
      <c r="C12" s="17" t="s">
        <v>221</v>
      </c>
      <c r="D12" s="17"/>
      <c r="E12" s="140">
        <f>E11*E10</f>
        <v>70012</v>
      </c>
      <c r="F12" s="140">
        <f t="shared" ref="F12:I12" si="2">F11*F10</f>
        <v>83069.090636943409</v>
      </c>
      <c r="G12" s="140">
        <f t="shared" si="2"/>
        <v>98084.834453745032</v>
      </c>
      <c r="H12" s="140">
        <f t="shared" si="2"/>
        <v>96720.179429333119</v>
      </c>
      <c r="I12" s="140">
        <f t="shared" si="2"/>
        <v>95348.03437592453</v>
      </c>
      <c r="J12" s="140">
        <f>J11*J10</f>
        <v>93970.222957951904</v>
      </c>
      <c r="K12" s="157"/>
      <c r="L12" s="157"/>
      <c r="N12" s="91" t="s">
        <v>218</v>
      </c>
      <c r="O12" s="154">
        <f>O9+(O10*(O11-O9))</f>
        <v>4.2863199999999997E-2</v>
      </c>
    </row>
    <row r="14" spans="1:29" ht="16">
      <c r="N14" s="60" t="s">
        <v>286</v>
      </c>
      <c r="O14" s="15">
        <v>1.7999999999999999E-2</v>
      </c>
    </row>
    <row r="16" spans="1:29">
      <c r="C16" s="17" t="s">
        <v>222</v>
      </c>
      <c r="D16" s="17"/>
      <c r="E16" s="142">
        <f>SUM(E12:J12)</f>
        <v>537204.36185389804</v>
      </c>
      <c r="G16" s="17"/>
    </row>
    <row r="17" spans="3:15">
      <c r="C17" s="17" t="s">
        <v>223</v>
      </c>
      <c r="D17" s="17"/>
      <c r="E17" s="142">
        <f>(J10*(1+O14))/(O12-O14)</f>
        <v>4745890.6203338467</v>
      </c>
      <c r="N17" s="149" t="s">
        <v>292</v>
      </c>
      <c r="O17" s="150">
        <f>FinModel!I56+FinModel!I64</f>
        <v>27006</v>
      </c>
    </row>
    <row r="18" spans="3:15">
      <c r="C18" s="17" t="s">
        <v>224</v>
      </c>
      <c r="D18" s="17"/>
      <c r="E18" s="142">
        <f>E17/(1+O12)^5</f>
        <v>3847521.1143857203</v>
      </c>
      <c r="N18" s="149" t="s">
        <v>293</v>
      </c>
      <c r="O18" s="142"/>
    </row>
    <row r="19" spans="3:15" ht="14" thickBot="1">
      <c r="C19" s="92" t="s">
        <v>297</v>
      </c>
      <c r="D19" s="92"/>
      <c r="E19" s="159">
        <f>E18+E16</f>
        <v>4384725.4762396179</v>
      </c>
      <c r="N19" s="151" t="s">
        <v>294</v>
      </c>
      <c r="O19" s="152">
        <f>FinModel!I238/Valuation!O17</f>
        <v>3.1289343108938751E-2</v>
      </c>
    </row>
    <row r="20" spans="3:15" ht="14" thickTop="1">
      <c r="N20" s="149"/>
      <c r="O20" s="74"/>
    </row>
    <row r="21" spans="3:15" ht="18">
      <c r="C21" s="13" t="s">
        <v>300</v>
      </c>
      <c r="E21" s="155">
        <f>E19/4465</f>
        <v>982.02138325635337</v>
      </c>
      <c r="F21" s="156"/>
      <c r="N21" s="149" t="s">
        <v>50</v>
      </c>
      <c r="O21" s="153">
        <f>-FinModel!I228</f>
        <v>0.20053690505760743</v>
      </c>
    </row>
    <row r="22" spans="3:15">
      <c r="C22" s="13" t="s">
        <v>299</v>
      </c>
      <c r="E22" s="74">
        <f>E21/912-1</f>
        <v>7.6777832517931355E-2</v>
      </c>
      <c r="F22" s="73"/>
      <c r="N22" s="149"/>
      <c r="O22" s="149"/>
    </row>
    <row r="23" spans="3:15">
      <c r="N23" s="149" t="s">
        <v>295</v>
      </c>
      <c r="O23" s="152"/>
    </row>
    <row r="25" spans="3:15">
      <c r="C25" s="60" t="s">
        <v>226</v>
      </c>
    </row>
    <row r="26" spans="3:15">
      <c r="C26" s="90" t="s">
        <v>296</v>
      </c>
      <c r="D26" s="90"/>
      <c r="E26" s="90">
        <v>2019</v>
      </c>
      <c r="F26" s="90">
        <v>2020</v>
      </c>
      <c r="G26" s="90">
        <v>2021</v>
      </c>
      <c r="H26" s="90">
        <v>2022</v>
      </c>
      <c r="I26" s="90">
        <v>2023</v>
      </c>
      <c r="J26" s="90">
        <v>2024</v>
      </c>
      <c r="K26" s="90">
        <v>2025</v>
      </c>
      <c r="L26" s="90" t="s">
        <v>227</v>
      </c>
    </row>
    <row r="27" spans="3:15">
      <c r="C27" s="13" t="s">
        <v>228</v>
      </c>
      <c r="E27" s="60">
        <f>-E35</f>
        <v>-77.730999999999966</v>
      </c>
    </row>
    <row r="28" spans="3:15">
      <c r="C28" s="13" t="s">
        <v>219</v>
      </c>
      <c r="F28" s="60">
        <f t="shared" ref="F28:K28" si="3">E10</f>
        <v>70012</v>
      </c>
      <c r="G28" s="60">
        <f t="shared" si="3"/>
        <v>86629.697682732833</v>
      </c>
      <c r="H28" s="60">
        <f t="shared" si="3"/>
        <v>106673.50095208827</v>
      </c>
      <c r="I28" s="60">
        <f t="shared" si="3"/>
        <v>109698.10396922586</v>
      </c>
      <c r="J28" s="60">
        <f t="shared" si="3"/>
        <v>112777.14984067192</v>
      </c>
      <c r="K28" s="60">
        <f t="shared" si="3"/>
        <v>115911.61853780402</v>
      </c>
      <c r="L28" s="60">
        <f>E17</f>
        <v>4745890.6203338467</v>
      </c>
    </row>
    <row r="30" spans="3:15">
      <c r="C30" s="17" t="s">
        <v>229</v>
      </c>
    </row>
    <row r="31" spans="3:15">
      <c r="C31" s="13" t="s">
        <v>230</v>
      </c>
      <c r="E31" s="60">
        <v>13</v>
      </c>
    </row>
    <row r="32" spans="3:15">
      <c r="C32" s="13" t="s">
        <v>231</v>
      </c>
      <c r="E32" s="60">
        <f>[3]FinModel!H21</f>
        <v>6.509999999999998</v>
      </c>
    </row>
    <row r="33" spans="3:9">
      <c r="C33" s="13" t="s">
        <v>232</v>
      </c>
      <c r="E33" s="60">
        <f>E31*E32</f>
        <v>84.629999999999967</v>
      </c>
    </row>
    <row r="34" spans="3:9">
      <c r="C34" s="13" t="s">
        <v>233</v>
      </c>
      <c r="E34" s="60">
        <f>-[3]FinModel!H49</f>
        <v>-6.899</v>
      </c>
    </row>
    <row r="35" spans="3:9">
      <c r="C35" s="17" t="s">
        <v>225</v>
      </c>
      <c r="D35" s="17"/>
      <c r="E35" s="91">
        <f>E33+E34</f>
        <v>77.730999999999966</v>
      </c>
    </row>
    <row r="36" spans="3:9">
      <c r="E36" s="60"/>
    </row>
    <row r="37" spans="3:9">
      <c r="C37" s="93" t="s">
        <v>234</v>
      </c>
      <c r="D37" s="93"/>
      <c r="E37" s="94">
        <f>IRR(E27:L28)</f>
        <v>900.9333364223661</v>
      </c>
    </row>
    <row r="39" spans="3:9">
      <c r="H39" s="13" t="s">
        <v>302</v>
      </c>
      <c r="I39" s="142">
        <v>545982.68000000005</v>
      </c>
    </row>
    <row r="40" spans="3:9">
      <c r="C40" s="13" t="s">
        <v>235</v>
      </c>
      <c r="H40" s="13" t="s">
        <v>303</v>
      </c>
      <c r="I40" s="142">
        <v>4442011.95</v>
      </c>
    </row>
    <row r="41" spans="3:9">
      <c r="H41" s="13" t="s">
        <v>304</v>
      </c>
      <c r="I41" s="142">
        <v>3595355.432</v>
      </c>
    </row>
    <row r="42" spans="3:9">
      <c r="C42" s="13" t="s">
        <v>236</v>
      </c>
      <c r="H42" s="13" t="s">
        <v>305</v>
      </c>
      <c r="I42" s="155">
        <f>I39+I41</f>
        <v>4141338.1120000002</v>
      </c>
    </row>
    <row r="43" spans="3:9">
      <c r="C43" s="90" t="s">
        <v>237</v>
      </c>
      <c r="D43" s="90" t="s">
        <v>238</v>
      </c>
      <c r="E43" s="90" t="s">
        <v>239</v>
      </c>
      <c r="F43" s="90" t="s">
        <v>240</v>
      </c>
      <c r="I43" s="155">
        <f>I42/4465</f>
        <v>927.51133527435616</v>
      </c>
    </row>
    <row r="44" spans="3:9">
      <c r="C44" s="95" t="s">
        <v>241</v>
      </c>
      <c r="D44" s="96">
        <v>14.56</v>
      </c>
      <c r="E44" s="96">
        <v>9.9499999999999993</v>
      </c>
      <c r="F44" s="97">
        <v>0.29874315832150822</v>
      </c>
      <c r="I44" s="155">
        <f>I43/912-1</f>
        <v>1.7008043063986955E-2</v>
      </c>
    </row>
    <row r="45" spans="3:9">
      <c r="C45" s="98" t="s">
        <v>242</v>
      </c>
      <c r="D45" s="99">
        <v>11.864000000000001</v>
      </c>
      <c r="E45" s="99">
        <v>9.6790000000000003</v>
      </c>
      <c r="F45" s="100">
        <v>0.31191271800867237</v>
      </c>
    </row>
    <row r="46" spans="3:9">
      <c r="C46" s="98" t="s">
        <v>243</v>
      </c>
      <c r="D46" s="99">
        <v>8.0779999999999994</v>
      </c>
      <c r="E46" s="99">
        <v>4.0019999999999998</v>
      </c>
      <c r="F46" s="100">
        <v>0.31336711991496696</v>
      </c>
    </row>
    <row r="47" spans="3:9">
      <c r="C47" s="98" t="s">
        <v>244</v>
      </c>
      <c r="D47" s="99">
        <v>11.766</v>
      </c>
      <c r="E47" s="99">
        <v>5.931</v>
      </c>
      <c r="F47" s="100">
        <v>0.28517460163704172</v>
      </c>
    </row>
    <row r="48" spans="3:9">
      <c r="C48" s="98" t="s">
        <v>245</v>
      </c>
      <c r="D48" s="99">
        <v>14.259</v>
      </c>
      <c r="E48" s="99">
        <v>10.425000000000001</v>
      </c>
      <c r="F48" s="100">
        <v>0.3153279381650903</v>
      </c>
    </row>
    <row r="49" spans="3:6">
      <c r="C49" s="101" t="s">
        <v>246</v>
      </c>
      <c r="D49" s="99">
        <v>14.426</v>
      </c>
      <c r="E49" s="99">
        <v>8.9649999999999999</v>
      </c>
      <c r="F49" s="100">
        <v>0.24619148424175766</v>
      </c>
    </row>
    <row r="50" spans="3:6" ht="30.75" customHeight="1">
      <c r="C50" s="101" t="s">
        <v>247</v>
      </c>
      <c r="D50" s="14">
        <f>AVERAGE(D44:D49)</f>
        <v>12.492166666666664</v>
      </c>
      <c r="E50" s="14">
        <f t="shared" ref="E50" si="4">AVERAGE(E44:E49)</f>
        <v>8.158666666666667</v>
      </c>
      <c r="F50" s="102">
        <f>AVERAGE(F44:F49)</f>
        <v>0.29511950338150622</v>
      </c>
    </row>
    <row r="52" spans="3:6">
      <c r="C52" s="88" t="s">
        <v>248</v>
      </c>
      <c r="D52" s="103"/>
    </row>
    <row r="53" spans="3:6">
      <c r="C53" s="104" t="s">
        <v>249</v>
      </c>
      <c r="D53" s="60">
        <f>[3]FinModel!K21</f>
        <v>10.423915169389904</v>
      </c>
    </row>
    <row r="54" spans="3:6" ht="28">
      <c r="C54" s="105" t="s">
        <v>250</v>
      </c>
      <c r="D54" s="60">
        <f>E50</f>
        <v>8.158666666666667</v>
      </c>
    </row>
    <row r="55" spans="3:6" ht="14">
      <c r="C55" s="105" t="s">
        <v>232</v>
      </c>
      <c r="D55" s="60">
        <f>D53*D54</f>
        <v>85.045249228662428</v>
      </c>
    </row>
    <row r="56" spans="3:6">
      <c r="C56" s="104" t="s">
        <v>251</v>
      </c>
      <c r="D56" s="60">
        <f>[3]FinModel!K49</f>
        <v>26.4495</v>
      </c>
    </row>
    <row r="57" spans="3:6">
      <c r="C57" s="106" t="s">
        <v>252</v>
      </c>
      <c r="D57" s="107">
        <f>D55-D56</f>
        <v>58.595749228662427</v>
      </c>
    </row>
    <row r="60" spans="3:6">
      <c r="C60" s="88" t="s">
        <v>253</v>
      </c>
      <c r="D60" s="103"/>
    </row>
    <row r="61" spans="3:6">
      <c r="C61" s="104" t="s">
        <v>254</v>
      </c>
      <c r="D61" s="60">
        <f>[3]FinModel!K29</f>
        <v>6.2350906422500598</v>
      </c>
    </row>
    <row r="62" spans="3:6" ht="28">
      <c r="C62" s="105" t="s">
        <v>255</v>
      </c>
      <c r="D62" s="14">
        <f>D50</f>
        <v>12.492166666666664</v>
      </c>
    </row>
    <row r="63" spans="3:6">
      <c r="C63" s="106" t="s">
        <v>225</v>
      </c>
      <c r="D63" s="107">
        <f>D61*D62</f>
        <v>77.889791484761446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FinModel</vt:lpstr>
      <vt:lpstr>Valuation 10y</vt:lpstr>
      <vt:lpstr>Ratio</vt:lpstr>
      <vt:lpstr>CCA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Aleya Sarah</dc:creator>
  <cp:lastModifiedBy>Zaki, Aleya</cp:lastModifiedBy>
  <dcterms:created xsi:type="dcterms:W3CDTF">2024-07-15T20:01:15Z</dcterms:created>
  <dcterms:modified xsi:type="dcterms:W3CDTF">2026-07-19T10:38:01Z</dcterms:modified>
</cp:coreProperties>
</file>