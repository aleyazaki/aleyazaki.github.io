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leyasarah/Downloads/"/>
    </mc:Choice>
  </mc:AlternateContent>
  <xr:revisionPtr revIDLastSave="0" documentId="13_ncr:1_{83485918-3F26-1F42-9707-24EB45D168BB}" xr6:coauthVersionLast="47" xr6:coauthVersionMax="47" xr10:uidLastSave="{00000000-0000-0000-0000-000000000000}"/>
  <bookViews>
    <workbookView xWindow="0" yWindow="720" windowWidth="29400" windowHeight="18400" tabRatio="500" activeTab="10" xr2:uid="{00000000-000D-0000-FFFF-FFFF00000000}"/>
  </bookViews>
  <sheets>
    <sheet name="WSO Cover Page" sheetId="9" r:id="rId1"/>
    <sheet name="DCF" sheetId="8" r:id="rId2"/>
    <sheet name="Assumptions" sheetId="2" r:id="rId3"/>
    <sheet name="Income Statement" sheetId="3" r:id="rId4"/>
    <sheet name="Balance Sheet" sheetId="4" r:id="rId5"/>
    <sheet name="Cash Flow Statement" sheetId="5" r:id="rId6"/>
    <sheet name="PPE Schedule" sheetId="6" r:id="rId7"/>
    <sheet name="Debt Schedule" sheetId="7" r:id="rId8"/>
    <sheet name="LBO Modelling" sheetId="10" r:id="rId9"/>
    <sheet name="PE Returns analysis" sheetId="11" r:id="rId10"/>
    <sheet name="Sheet1" sheetId="16" r:id="rId11"/>
    <sheet name="Comps" sheetId="17" r:id="rId12"/>
    <sheet name="WACC Calculation" sheetId="12" r:id="rId13"/>
    <sheet name="Football Field" sheetId="13" state="hidden" r:id="rId14"/>
    <sheet name="Charts" sheetId="14" state="hidden" r:id="rId15"/>
    <sheet name="metrics" sheetId="19" r:id="rId16"/>
  </sheets>
  <definedNames>
    <definedName name="_xlnm.Print_Area" localSheetId="2">Assumptions!$A$1:$R$94</definedName>
    <definedName name="_xlnm.Print_Area" localSheetId="4">'Balance Sheet'!$A$1:$R$49</definedName>
    <definedName name="_xlnm.Print_Area" localSheetId="1">DCF!$A$1:$M$41,DCF!$O$43:$U$50</definedName>
    <definedName name="_xlnm.Print_Area" localSheetId="7">'Debt Schedule'!$A$1:$Q$40</definedName>
    <definedName name="_xlnm.Print_Area" localSheetId="3">'Income Statement'!$A$1:$Q$100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0" l="1"/>
  <c r="D4" i="10"/>
  <c r="D9" i="10"/>
  <c r="D17" i="10"/>
  <c r="C6" i="10"/>
  <c r="E9" i="17"/>
  <c r="C7" i="11"/>
  <c r="G11" i="3"/>
  <c r="G9" i="17"/>
  <c r="G10" i="17"/>
  <c r="G6" i="3"/>
  <c r="G26" i="3"/>
  <c r="F9" i="17"/>
  <c r="F10" i="17"/>
  <c r="E10" i="17"/>
  <c r="E20" i="10"/>
  <c r="E19" i="10"/>
  <c r="G21" i="10"/>
  <c r="D11" i="10"/>
  <c r="G17" i="10"/>
  <c r="C29" i="2"/>
  <c r="C28" i="2"/>
  <c r="C27" i="2"/>
  <c r="E10" i="10"/>
  <c r="E9" i="10"/>
  <c r="K9" i="10"/>
  <c r="K8" i="10"/>
  <c r="K7" i="10"/>
  <c r="K6" i="10"/>
  <c r="K5" i="10"/>
  <c r="C7" i="10"/>
  <c r="C13" i="2"/>
  <c r="D8" i="10"/>
  <c r="C10" i="10"/>
  <c r="C18" i="10"/>
  <c r="C17" i="10"/>
  <c r="G20" i="10"/>
  <c r="D10" i="10"/>
  <c r="G18" i="10"/>
  <c r="C5" i="11"/>
  <c r="B34" i="2"/>
  <c r="I35" i="2"/>
  <c r="H9" i="3"/>
  <c r="B42" i="2"/>
  <c r="I43" i="2"/>
  <c r="H13" i="3"/>
  <c r="B50" i="2"/>
  <c r="I51" i="2"/>
  <c r="H17" i="3"/>
  <c r="H6" i="3"/>
  <c r="H7" i="3"/>
  <c r="J35" i="2"/>
  <c r="I9" i="3"/>
  <c r="J43" i="2"/>
  <c r="I13" i="3"/>
  <c r="J51" i="2"/>
  <c r="I17" i="3"/>
  <c r="I6" i="3"/>
  <c r="I7" i="3"/>
  <c r="K35" i="2"/>
  <c r="J9" i="3"/>
  <c r="K43" i="2"/>
  <c r="J13" i="3"/>
  <c r="K51" i="2"/>
  <c r="J17" i="3"/>
  <c r="J6" i="3"/>
  <c r="J7" i="3"/>
  <c r="L35" i="2"/>
  <c r="K9" i="3"/>
  <c r="L43" i="2"/>
  <c r="K13" i="3"/>
  <c r="L51" i="2"/>
  <c r="K17" i="3"/>
  <c r="K6" i="3"/>
  <c r="K7" i="3"/>
  <c r="M35" i="2"/>
  <c r="L9" i="3"/>
  <c r="M43" i="2"/>
  <c r="L13" i="3"/>
  <c r="M51" i="2"/>
  <c r="L17" i="3"/>
  <c r="L6" i="3"/>
  <c r="L7" i="3"/>
  <c r="S6" i="3"/>
  <c r="N35" i="2"/>
  <c r="M9" i="3"/>
  <c r="O35" i="2"/>
  <c r="N9" i="3"/>
  <c r="P35" i="2"/>
  <c r="O9" i="3"/>
  <c r="N43" i="2"/>
  <c r="M13" i="3"/>
  <c r="O43" i="2"/>
  <c r="N13" i="3"/>
  <c r="P43" i="2"/>
  <c r="O13" i="3"/>
  <c r="N51" i="2"/>
  <c r="M17" i="3"/>
  <c r="O51" i="2"/>
  <c r="N17" i="3"/>
  <c r="P51" i="2"/>
  <c r="O17" i="3"/>
  <c r="O6" i="3"/>
  <c r="B59" i="2"/>
  <c r="P60" i="2"/>
  <c r="O22" i="3"/>
  <c r="O25" i="3"/>
  <c r="K8" i="8"/>
  <c r="B67" i="2"/>
  <c r="P68" i="2"/>
  <c r="O28" i="3"/>
  <c r="K10" i="8"/>
  <c r="K12" i="8"/>
  <c r="K14" i="8"/>
  <c r="B76" i="2"/>
  <c r="P77" i="2"/>
  <c r="O34" i="3"/>
  <c r="K16" i="8"/>
  <c r="N6" i="3"/>
  <c r="O13" i="4"/>
  <c r="O14" i="4"/>
  <c r="O60" i="2"/>
  <c r="N22" i="3"/>
  <c r="O26" i="4"/>
  <c r="O27" i="4"/>
  <c r="O28" i="4"/>
  <c r="O61" i="4"/>
  <c r="P13" i="4"/>
  <c r="P14" i="4"/>
  <c r="P26" i="4"/>
  <c r="P27" i="4"/>
  <c r="P28" i="4"/>
  <c r="P61" i="4"/>
  <c r="O10" i="5"/>
  <c r="K18" i="8"/>
  <c r="K20" i="8"/>
  <c r="J26" i="10"/>
  <c r="C39" i="10"/>
  <c r="C41" i="10"/>
  <c r="I60" i="2"/>
  <c r="H22" i="3"/>
  <c r="H25" i="3"/>
  <c r="D8" i="8"/>
  <c r="I68" i="2"/>
  <c r="H28" i="3"/>
  <c r="D10" i="8"/>
  <c r="D12" i="8"/>
  <c r="D14" i="8"/>
  <c r="I77" i="2"/>
  <c r="H34" i="3"/>
  <c r="D16" i="8"/>
  <c r="I13" i="4"/>
  <c r="I14" i="4"/>
  <c r="I26" i="4"/>
  <c r="I27" i="4"/>
  <c r="I28" i="4"/>
  <c r="I61" i="4"/>
  <c r="H10" i="5"/>
  <c r="D18" i="8"/>
  <c r="D20" i="8"/>
  <c r="C26" i="10"/>
  <c r="C45" i="10"/>
  <c r="C47" i="10"/>
  <c r="C65" i="10"/>
  <c r="C70" i="10"/>
  <c r="C72" i="10"/>
  <c r="C52" i="10"/>
  <c r="C57" i="10"/>
  <c r="C59" i="10"/>
  <c r="C58" i="10"/>
  <c r="C60" i="10"/>
  <c r="C67" i="10"/>
  <c r="C42" i="10"/>
  <c r="C43" i="10"/>
  <c r="D39" i="10"/>
  <c r="D41" i="10"/>
  <c r="J60" i="2"/>
  <c r="I22" i="3"/>
  <c r="I25" i="3"/>
  <c r="E8" i="8"/>
  <c r="J68" i="2"/>
  <c r="I28" i="3"/>
  <c r="E10" i="8"/>
  <c r="E12" i="8"/>
  <c r="E14" i="8"/>
  <c r="J77" i="2"/>
  <c r="I34" i="3"/>
  <c r="E16" i="8"/>
  <c r="J13" i="4"/>
  <c r="J14" i="4"/>
  <c r="J26" i="4"/>
  <c r="J27" i="4"/>
  <c r="J28" i="4"/>
  <c r="J61" i="4"/>
  <c r="I10" i="5"/>
  <c r="E18" i="8"/>
  <c r="E20" i="8"/>
  <c r="D26" i="10"/>
  <c r="D47" i="10"/>
  <c r="C66" i="10"/>
  <c r="C68" i="10"/>
  <c r="D65" i="10"/>
  <c r="D72" i="10"/>
  <c r="C53" i="10"/>
  <c r="C54" i="10"/>
  <c r="C55" i="10"/>
  <c r="D52" i="10"/>
  <c r="D59" i="10"/>
  <c r="D60" i="10"/>
  <c r="D67" i="10"/>
  <c r="D42" i="10"/>
  <c r="D43" i="10"/>
  <c r="E39" i="10"/>
  <c r="E41" i="10"/>
  <c r="K60" i="2"/>
  <c r="J22" i="3"/>
  <c r="J25" i="3"/>
  <c r="F8" i="8"/>
  <c r="K68" i="2"/>
  <c r="J28" i="3"/>
  <c r="F10" i="8"/>
  <c r="F12" i="8"/>
  <c r="F14" i="8"/>
  <c r="K77" i="2"/>
  <c r="J34" i="3"/>
  <c r="F16" i="8"/>
  <c r="K13" i="4"/>
  <c r="K14" i="4"/>
  <c r="K26" i="4"/>
  <c r="K27" i="4"/>
  <c r="K28" i="4"/>
  <c r="K61" i="4"/>
  <c r="J10" i="5"/>
  <c r="F18" i="8"/>
  <c r="F20" i="8"/>
  <c r="E26" i="10"/>
  <c r="E47" i="10"/>
  <c r="D66" i="10"/>
  <c r="D68" i="10"/>
  <c r="E65" i="10"/>
  <c r="E72" i="10"/>
  <c r="D53" i="10"/>
  <c r="D54" i="10"/>
  <c r="D55" i="10"/>
  <c r="E52" i="10"/>
  <c r="E59" i="10"/>
  <c r="E60" i="10"/>
  <c r="E67" i="10"/>
  <c r="E42" i="10"/>
  <c r="E43" i="10"/>
  <c r="F39" i="10"/>
  <c r="F41" i="10"/>
  <c r="L60" i="2"/>
  <c r="K22" i="3"/>
  <c r="K25" i="3"/>
  <c r="G8" i="8"/>
  <c r="L68" i="2"/>
  <c r="K28" i="3"/>
  <c r="G10" i="8"/>
  <c r="G12" i="8"/>
  <c r="G14" i="8"/>
  <c r="L77" i="2"/>
  <c r="K34" i="3"/>
  <c r="G16" i="8"/>
  <c r="L13" i="4"/>
  <c r="L14" i="4"/>
  <c r="L26" i="4"/>
  <c r="L27" i="4"/>
  <c r="L28" i="4"/>
  <c r="L61" i="4"/>
  <c r="K10" i="5"/>
  <c r="G18" i="8"/>
  <c r="G20" i="8"/>
  <c r="F26" i="10"/>
  <c r="F47" i="10"/>
  <c r="E66" i="10"/>
  <c r="E68" i="10"/>
  <c r="F65" i="10"/>
  <c r="F72" i="10"/>
  <c r="E53" i="10"/>
  <c r="E54" i="10"/>
  <c r="E55" i="10"/>
  <c r="F52" i="10"/>
  <c r="F59" i="10"/>
  <c r="F60" i="10"/>
  <c r="F67" i="10"/>
  <c r="F42" i="10"/>
  <c r="F43" i="10"/>
  <c r="G39" i="10"/>
  <c r="G41" i="10"/>
  <c r="M60" i="2"/>
  <c r="L22" i="3"/>
  <c r="L25" i="3"/>
  <c r="H8" i="8"/>
  <c r="M68" i="2"/>
  <c r="L28" i="3"/>
  <c r="H10" i="8"/>
  <c r="H12" i="8"/>
  <c r="H14" i="8"/>
  <c r="M77" i="2"/>
  <c r="L34" i="3"/>
  <c r="H16" i="8"/>
  <c r="M13" i="4"/>
  <c r="M14" i="4"/>
  <c r="M26" i="4"/>
  <c r="M27" i="4"/>
  <c r="M28" i="4"/>
  <c r="M61" i="4"/>
  <c r="L10" i="5"/>
  <c r="H18" i="8"/>
  <c r="H20" i="8"/>
  <c r="G26" i="10"/>
  <c r="G47" i="10"/>
  <c r="F66" i="10"/>
  <c r="F68" i="10"/>
  <c r="G65" i="10"/>
  <c r="G72" i="10"/>
  <c r="F53" i="10"/>
  <c r="F54" i="10"/>
  <c r="F55" i="10"/>
  <c r="G52" i="10"/>
  <c r="G59" i="10"/>
  <c r="G60" i="10"/>
  <c r="G67" i="10"/>
  <c r="G42" i="10"/>
  <c r="G43" i="10"/>
  <c r="H39" i="10"/>
  <c r="H41" i="10"/>
  <c r="M6" i="3"/>
  <c r="N60" i="2"/>
  <c r="M22" i="3"/>
  <c r="M25" i="3"/>
  <c r="I8" i="8"/>
  <c r="N68" i="2"/>
  <c r="M28" i="3"/>
  <c r="I10" i="8"/>
  <c r="I12" i="8"/>
  <c r="I14" i="8"/>
  <c r="N77" i="2"/>
  <c r="M34" i="3"/>
  <c r="I16" i="8"/>
  <c r="N13" i="4"/>
  <c r="N14" i="4"/>
  <c r="N26" i="4"/>
  <c r="N27" i="4"/>
  <c r="N28" i="4"/>
  <c r="N61" i="4"/>
  <c r="M10" i="5"/>
  <c r="I18" i="8"/>
  <c r="I20" i="8"/>
  <c r="H26" i="10"/>
  <c r="H47" i="10"/>
  <c r="G66" i="10"/>
  <c r="G68" i="10"/>
  <c r="H65" i="10"/>
  <c r="H72" i="10"/>
  <c r="G53" i="10"/>
  <c r="G54" i="10"/>
  <c r="G55" i="10"/>
  <c r="H52" i="10"/>
  <c r="H59" i="10"/>
  <c r="H60" i="10"/>
  <c r="H67" i="10"/>
  <c r="H42" i="10"/>
  <c r="H43" i="10"/>
  <c r="I39" i="10"/>
  <c r="I41" i="10"/>
  <c r="N25" i="3"/>
  <c r="J8" i="8"/>
  <c r="O68" i="2"/>
  <c r="N28" i="3"/>
  <c r="J10" i="8"/>
  <c r="J12" i="8"/>
  <c r="J14" i="8"/>
  <c r="O77" i="2"/>
  <c r="N34" i="3"/>
  <c r="J16" i="8"/>
  <c r="N10" i="5"/>
  <c r="J18" i="8"/>
  <c r="J20" i="8"/>
  <c r="I26" i="10"/>
  <c r="I47" i="10"/>
  <c r="H66" i="10"/>
  <c r="H68" i="10"/>
  <c r="I65" i="10"/>
  <c r="I72" i="10"/>
  <c r="H53" i="10"/>
  <c r="H54" i="10"/>
  <c r="H55" i="10"/>
  <c r="I52" i="10"/>
  <c r="I59" i="10"/>
  <c r="I60" i="10"/>
  <c r="I67" i="10"/>
  <c r="I42" i="10"/>
  <c r="I43" i="10"/>
  <c r="J39" i="10"/>
  <c r="J41" i="10"/>
  <c r="J47" i="10"/>
  <c r="I66" i="10"/>
  <c r="I68" i="10"/>
  <c r="J65" i="10"/>
  <c r="J72" i="10"/>
  <c r="I53" i="10"/>
  <c r="I54" i="10"/>
  <c r="I55" i="10"/>
  <c r="J52" i="10"/>
  <c r="J59" i="10"/>
  <c r="J60" i="10"/>
  <c r="J67" i="10"/>
  <c r="J42" i="10"/>
  <c r="J53" i="10"/>
  <c r="C8" i="11"/>
  <c r="C9" i="11"/>
  <c r="J54" i="10"/>
  <c r="J55" i="10"/>
  <c r="K52" i="10"/>
  <c r="G80" i="10"/>
  <c r="M31" i="4"/>
  <c r="G79" i="10"/>
  <c r="L17" i="5"/>
  <c r="L18" i="5"/>
  <c r="L37" i="3"/>
  <c r="L31" i="3"/>
  <c r="L39" i="3"/>
  <c r="L40" i="3"/>
  <c r="L43" i="3"/>
  <c r="L6" i="5"/>
  <c r="L8" i="5"/>
  <c r="L12" i="5"/>
  <c r="L6" i="6"/>
  <c r="L14" i="5"/>
  <c r="L15" i="5"/>
  <c r="L20" i="5"/>
  <c r="F79" i="10"/>
  <c r="K17" i="5"/>
  <c r="K18" i="5"/>
  <c r="K37" i="3"/>
  <c r="K31" i="3"/>
  <c r="K39" i="3"/>
  <c r="K40" i="3"/>
  <c r="K43" i="3"/>
  <c r="K6" i="5"/>
  <c r="K8" i="5"/>
  <c r="K12" i="5"/>
  <c r="K6" i="6"/>
  <c r="K14" i="5"/>
  <c r="K15" i="5"/>
  <c r="K20" i="5"/>
  <c r="E79" i="10"/>
  <c r="J17" i="5"/>
  <c r="J18" i="5"/>
  <c r="J37" i="3"/>
  <c r="J31" i="3"/>
  <c r="J39" i="3"/>
  <c r="J40" i="3"/>
  <c r="J43" i="3"/>
  <c r="J6" i="5"/>
  <c r="J8" i="5"/>
  <c r="J12" i="5"/>
  <c r="J6" i="6"/>
  <c r="J14" i="5"/>
  <c r="J15" i="5"/>
  <c r="J20" i="5"/>
  <c r="D79" i="10"/>
  <c r="I17" i="5"/>
  <c r="I18" i="5"/>
  <c r="I37" i="3"/>
  <c r="I31" i="3"/>
  <c r="I39" i="3"/>
  <c r="I40" i="3"/>
  <c r="I43" i="3"/>
  <c r="I6" i="5"/>
  <c r="I8" i="5"/>
  <c r="I12" i="5"/>
  <c r="I6" i="6"/>
  <c r="I14" i="5"/>
  <c r="I15" i="5"/>
  <c r="I20" i="5"/>
  <c r="C79" i="10"/>
  <c r="H17" i="5"/>
  <c r="H18" i="5"/>
  <c r="H37" i="3"/>
  <c r="H31" i="3"/>
  <c r="H39" i="3"/>
  <c r="H40" i="3"/>
  <c r="H43" i="3"/>
  <c r="H6" i="5"/>
  <c r="H8" i="5"/>
  <c r="H12" i="5"/>
  <c r="H6" i="6"/>
  <c r="H14" i="5"/>
  <c r="H15" i="5"/>
  <c r="H20" i="5"/>
  <c r="H22" i="5"/>
  <c r="I21" i="5"/>
  <c r="I22" i="5"/>
  <c r="J21" i="5"/>
  <c r="J22" i="5"/>
  <c r="K21" i="5"/>
  <c r="K22" i="5"/>
  <c r="L21" i="5"/>
  <c r="L22" i="5"/>
  <c r="M11" i="4"/>
  <c r="M63" i="4"/>
  <c r="C10" i="11"/>
  <c r="C11" i="11"/>
  <c r="H31" i="4"/>
  <c r="H23" i="4"/>
  <c r="G9" i="10"/>
  <c r="G10" i="10"/>
  <c r="G11" i="10"/>
  <c r="F9" i="13"/>
  <c r="D9" i="13"/>
  <c r="E9" i="13"/>
  <c r="E8" i="13"/>
  <c r="E7" i="13"/>
  <c r="D4" i="13"/>
  <c r="J6" i="13"/>
  <c r="F6" i="13"/>
  <c r="D6" i="13"/>
  <c r="E6" i="13"/>
  <c r="H13" i="4"/>
  <c r="H14" i="4"/>
  <c r="H26" i="4"/>
  <c r="H27" i="4"/>
  <c r="H28" i="4"/>
  <c r="H61" i="4"/>
  <c r="J55" i="4"/>
  <c r="J56" i="4"/>
  <c r="K55" i="4"/>
  <c r="K56" i="4"/>
  <c r="L55" i="4"/>
  <c r="L56" i="4"/>
  <c r="M55" i="4"/>
  <c r="M56" i="4"/>
  <c r="H21" i="5"/>
  <c r="H12" i="4"/>
  <c r="I12" i="4"/>
  <c r="J12" i="4"/>
  <c r="K12" i="4"/>
  <c r="L12" i="4"/>
  <c r="M12" i="4"/>
  <c r="C34" i="11"/>
  <c r="C33" i="11"/>
  <c r="C6" i="11"/>
  <c r="C32" i="11"/>
  <c r="D14" i="11"/>
  <c r="E14" i="11"/>
  <c r="F14" i="11"/>
  <c r="G14" i="11"/>
  <c r="H14" i="11"/>
  <c r="N55" i="4"/>
  <c r="N56" i="4"/>
  <c r="O55" i="4"/>
  <c r="O56" i="4"/>
  <c r="P55" i="4"/>
  <c r="P56" i="4"/>
  <c r="J43" i="10"/>
  <c r="K39" i="10"/>
  <c r="K41" i="10"/>
  <c r="Q35" i="2"/>
  <c r="P9" i="3"/>
  <c r="Q43" i="2"/>
  <c r="P13" i="3"/>
  <c r="Q51" i="2"/>
  <c r="P17" i="3"/>
  <c r="P6" i="3"/>
  <c r="Q60" i="2"/>
  <c r="P22" i="3"/>
  <c r="P25" i="3"/>
  <c r="L8" i="8"/>
  <c r="Q68" i="2"/>
  <c r="P28" i="3"/>
  <c r="L10" i="8"/>
  <c r="L12" i="8"/>
  <c r="L14" i="8"/>
  <c r="Q77" i="2"/>
  <c r="P34" i="3"/>
  <c r="L16" i="8"/>
  <c r="Q55" i="4"/>
  <c r="Q13" i="4"/>
  <c r="Q14" i="4"/>
  <c r="Q56" i="4"/>
  <c r="Q26" i="4"/>
  <c r="Q27" i="4"/>
  <c r="Q28" i="4"/>
  <c r="Q61" i="4"/>
  <c r="P10" i="5"/>
  <c r="L18" i="8"/>
  <c r="L20" i="8"/>
  <c r="K26" i="10"/>
  <c r="K47" i="10"/>
  <c r="J66" i="10"/>
  <c r="J68" i="10"/>
  <c r="K65" i="10"/>
  <c r="K72" i="10"/>
  <c r="K59" i="10"/>
  <c r="K60" i="10"/>
  <c r="K67" i="10"/>
  <c r="K42" i="10"/>
  <c r="K43" i="10"/>
  <c r="L39" i="10"/>
  <c r="L41" i="10"/>
  <c r="R35" i="2"/>
  <c r="Q9" i="3"/>
  <c r="R43" i="2"/>
  <c r="Q13" i="3"/>
  <c r="R51" i="2"/>
  <c r="Q17" i="3"/>
  <c r="Q6" i="3"/>
  <c r="R60" i="2"/>
  <c r="Q22" i="3"/>
  <c r="Q25" i="3"/>
  <c r="M8" i="8"/>
  <c r="R68" i="2"/>
  <c r="Q28" i="3"/>
  <c r="M10" i="8"/>
  <c r="M12" i="8"/>
  <c r="M14" i="8"/>
  <c r="R77" i="2"/>
  <c r="Q34" i="3"/>
  <c r="M16" i="8"/>
  <c r="R55" i="4"/>
  <c r="R13" i="4"/>
  <c r="R14" i="4"/>
  <c r="R56" i="4"/>
  <c r="R26" i="4"/>
  <c r="R27" i="4"/>
  <c r="R28" i="4"/>
  <c r="R61" i="4"/>
  <c r="Q10" i="5"/>
  <c r="M18" i="8"/>
  <c r="M20" i="8"/>
  <c r="L26" i="10"/>
  <c r="L47" i="10"/>
  <c r="K66" i="10"/>
  <c r="K68" i="10"/>
  <c r="L65" i="10"/>
  <c r="L72" i="10"/>
  <c r="K53" i="10"/>
  <c r="K54" i="10"/>
  <c r="K55" i="10"/>
  <c r="L52" i="10"/>
  <c r="L59" i="10"/>
  <c r="L60" i="10"/>
  <c r="L67" i="10"/>
  <c r="L42" i="10"/>
  <c r="L43" i="10"/>
  <c r="L53" i="10"/>
  <c r="L54" i="10"/>
  <c r="L55" i="10"/>
  <c r="L66" i="10"/>
  <c r="L68" i="10"/>
  <c r="L80" i="10"/>
  <c r="K80" i="10"/>
  <c r="J80" i="10"/>
  <c r="I80" i="10"/>
  <c r="H80" i="10"/>
  <c r="F80" i="10"/>
  <c r="E80" i="10"/>
  <c r="D80" i="10"/>
  <c r="C80" i="10"/>
  <c r="L79" i="10"/>
  <c r="K79" i="10"/>
  <c r="J79" i="10"/>
  <c r="I79" i="10"/>
  <c r="H79" i="10"/>
  <c r="L78" i="10"/>
  <c r="K78" i="10"/>
  <c r="J78" i="10"/>
  <c r="I78" i="10"/>
  <c r="H78" i="10"/>
  <c r="G78" i="10"/>
  <c r="F78" i="10"/>
  <c r="E78" i="10"/>
  <c r="D78" i="10"/>
  <c r="C78" i="10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L76" i="10"/>
  <c r="K76" i="10"/>
  <c r="J76" i="10"/>
  <c r="I76" i="10"/>
  <c r="H76" i="10"/>
  <c r="G76" i="10"/>
  <c r="F76" i="10"/>
  <c r="E76" i="10"/>
  <c r="D76" i="10"/>
  <c r="C76" i="10"/>
  <c r="L64" i="10"/>
  <c r="K64" i="10"/>
  <c r="J64" i="10"/>
  <c r="I64" i="10"/>
  <c r="H64" i="10"/>
  <c r="G64" i="10"/>
  <c r="F64" i="10"/>
  <c r="E64" i="10"/>
  <c r="D64" i="10"/>
  <c r="C64" i="10"/>
  <c r="L51" i="10"/>
  <c r="K51" i="10"/>
  <c r="J51" i="10"/>
  <c r="I51" i="10"/>
  <c r="H51" i="10"/>
  <c r="G51" i="10"/>
  <c r="F51" i="10"/>
  <c r="E51" i="10"/>
  <c r="D51" i="10"/>
  <c r="C51" i="10"/>
  <c r="L38" i="10"/>
  <c r="K38" i="10"/>
  <c r="J38" i="10"/>
  <c r="I38" i="10"/>
  <c r="H38" i="10"/>
  <c r="G38" i="10"/>
  <c r="F38" i="10"/>
  <c r="E38" i="10"/>
  <c r="D38" i="10"/>
  <c r="C38" i="10"/>
  <c r="D37" i="10"/>
  <c r="E37" i="10"/>
  <c r="F37" i="10"/>
  <c r="G37" i="10"/>
  <c r="H37" i="10"/>
  <c r="I37" i="10"/>
  <c r="J37" i="10"/>
  <c r="K37" i="10"/>
  <c r="L37" i="10"/>
  <c r="L29" i="10"/>
  <c r="L30" i="10"/>
  <c r="L33" i="10"/>
  <c r="K29" i="10"/>
  <c r="K30" i="10"/>
  <c r="K33" i="10"/>
  <c r="J29" i="10"/>
  <c r="J30" i="10"/>
  <c r="J33" i="10"/>
  <c r="I29" i="10"/>
  <c r="I30" i="10"/>
  <c r="I33" i="10"/>
  <c r="H29" i="10"/>
  <c r="H30" i="10"/>
  <c r="H33" i="10"/>
  <c r="G29" i="10"/>
  <c r="G30" i="10"/>
  <c r="G33" i="10"/>
  <c r="F29" i="10"/>
  <c r="F30" i="10"/>
  <c r="F33" i="10"/>
  <c r="E29" i="10"/>
  <c r="E30" i="10"/>
  <c r="E33" i="10"/>
  <c r="D29" i="10"/>
  <c r="D30" i="10"/>
  <c r="D33" i="10"/>
  <c r="C29" i="10"/>
  <c r="C30" i="10"/>
  <c r="C33" i="10"/>
  <c r="L24" i="10"/>
  <c r="K24" i="10"/>
  <c r="J24" i="10"/>
  <c r="I24" i="10"/>
  <c r="H24" i="10"/>
  <c r="G24" i="10"/>
  <c r="F24" i="10"/>
  <c r="E24" i="10"/>
  <c r="D24" i="10"/>
  <c r="C24" i="10"/>
  <c r="D5" i="10"/>
  <c r="C23" i="9"/>
  <c r="C21" i="9"/>
  <c r="C20" i="9"/>
  <c r="C19" i="9"/>
  <c r="G47" i="3"/>
  <c r="G48" i="3"/>
  <c r="C16" i="9"/>
  <c r="G31" i="3"/>
  <c r="G39" i="3"/>
  <c r="G43" i="3"/>
  <c r="C15" i="9"/>
  <c r="C14" i="9"/>
  <c r="C13" i="9"/>
  <c r="C12" i="9"/>
  <c r="C6" i="12"/>
  <c r="C12" i="12"/>
  <c r="C16" i="12"/>
  <c r="C17" i="12"/>
  <c r="C19" i="12"/>
  <c r="C26" i="8"/>
  <c r="C30" i="8"/>
  <c r="M22" i="8"/>
  <c r="C31" i="8"/>
  <c r="D22" i="8"/>
  <c r="D24" i="8"/>
  <c r="E22" i="8"/>
  <c r="E24" i="8"/>
  <c r="F22" i="8"/>
  <c r="F24" i="8"/>
  <c r="G22" i="8"/>
  <c r="G24" i="8"/>
  <c r="H22" i="8"/>
  <c r="H24" i="8"/>
  <c r="I22" i="8"/>
  <c r="I24" i="8"/>
  <c r="J22" i="8"/>
  <c r="J24" i="8"/>
  <c r="K22" i="8"/>
  <c r="K24" i="8"/>
  <c r="L22" i="8"/>
  <c r="L24" i="8"/>
  <c r="M24" i="8"/>
  <c r="C33" i="8"/>
  <c r="C35" i="8"/>
  <c r="C41" i="8"/>
  <c r="C40" i="8"/>
  <c r="G63" i="4"/>
  <c r="C36" i="8"/>
  <c r="C38" i="8"/>
  <c r="C8" i="8"/>
  <c r="M6" i="8"/>
  <c r="L6" i="8"/>
  <c r="K6" i="8"/>
  <c r="J6" i="8"/>
  <c r="I6" i="8"/>
  <c r="H6" i="8"/>
  <c r="G6" i="8"/>
  <c r="F6" i="8"/>
  <c r="E6" i="8"/>
  <c r="D6" i="8"/>
  <c r="C6" i="8"/>
  <c r="G5" i="7"/>
  <c r="G12" i="7"/>
  <c r="F5" i="7"/>
  <c r="F12" i="7"/>
  <c r="E5" i="7"/>
  <c r="E12" i="7"/>
  <c r="D5" i="7"/>
  <c r="D12" i="7"/>
  <c r="D7" i="7"/>
  <c r="C7" i="7"/>
  <c r="C5" i="7"/>
  <c r="C12" i="7"/>
  <c r="G7" i="7"/>
  <c r="F7" i="7"/>
  <c r="E7" i="7"/>
  <c r="G4" i="7"/>
  <c r="F4" i="7"/>
  <c r="E4" i="7"/>
  <c r="D4" i="7"/>
  <c r="C4" i="7"/>
  <c r="H5" i="6"/>
  <c r="H9" i="6"/>
  <c r="H10" i="6"/>
  <c r="I5" i="6"/>
  <c r="I9" i="6"/>
  <c r="I10" i="6"/>
  <c r="J5" i="6"/>
  <c r="J9" i="6"/>
  <c r="J10" i="6"/>
  <c r="K5" i="6"/>
  <c r="K9" i="6"/>
  <c r="K10" i="6"/>
  <c r="L5" i="6"/>
  <c r="L9" i="6"/>
  <c r="L10" i="6"/>
  <c r="M5" i="6"/>
  <c r="M6" i="6"/>
  <c r="M9" i="6"/>
  <c r="M10" i="6"/>
  <c r="N5" i="6"/>
  <c r="N6" i="6"/>
  <c r="N9" i="6"/>
  <c r="N10" i="6"/>
  <c r="O5" i="6"/>
  <c r="O6" i="6"/>
  <c r="O9" i="6"/>
  <c r="O10" i="6"/>
  <c r="P5" i="6"/>
  <c r="P6" i="6"/>
  <c r="P9" i="6"/>
  <c r="P10" i="6"/>
  <c r="Q5" i="6"/>
  <c r="Q6" i="6"/>
  <c r="Q9" i="6"/>
  <c r="Q10" i="6"/>
  <c r="G6" i="6"/>
  <c r="F6" i="6"/>
  <c r="E6" i="6"/>
  <c r="D6" i="6"/>
  <c r="C6" i="6"/>
  <c r="G5" i="6"/>
  <c r="F5" i="6"/>
  <c r="E5" i="6"/>
  <c r="D5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Q31" i="3"/>
  <c r="Q37" i="3"/>
  <c r="Q39" i="3"/>
  <c r="Q40" i="3"/>
  <c r="Q43" i="3"/>
  <c r="Q6" i="5"/>
  <c r="Q8" i="5"/>
  <c r="Q12" i="5"/>
  <c r="Q14" i="5"/>
  <c r="Q15" i="5"/>
  <c r="Q17" i="5"/>
  <c r="Q18" i="5"/>
  <c r="Q20" i="5"/>
  <c r="P31" i="3"/>
  <c r="P37" i="3"/>
  <c r="P39" i="3"/>
  <c r="P40" i="3"/>
  <c r="P43" i="3"/>
  <c r="P6" i="5"/>
  <c r="P8" i="5"/>
  <c r="P12" i="5"/>
  <c r="P14" i="5"/>
  <c r="P15" i="5"/>
  <c r="P17" i="5"/>
  <c r="P18" i="5"/>
  <c r="P20" i="5"/>
  <c r="O31" i="3"/>
  <c r="O37" i="3"/>
  <c r="O39" i="3"/>
  <c r="O40" i="3"/>
  <c r="O43" i="3"/>
  <c r="O6" i="5"/>
  <c r="O8" i="5"/>
  <c r="O12" i="5"/>
  <c r="O14" i="5"/>
  <c r="O15" i="5"/>
  <c r="O17" i="5"/>
  <c r="O18" i="5"/>
  <c r="O20" i="5"/>
  <c r="N31" i="3"/>
  <c r="N37" i="3"/>
  <c r="N39" i="3"/>
  <c r="N40" i="3"/>
  <c r="N43" i="3"/>
  <c r="N6" i="5"/>
  <c r="N8" i="5"/>
  <c r="N12" i="5"/>
  <c r="N14" i="5"/>
  <c r="N15" i="5"/>
  <c r="N17" i="5"/>
  <c r="N18" i="5"/>
  <c r="N20" i="5"/>
  <c r="M31" i="3"/>
  <c r="M37" i="3"/>
  <c r="M39" i="3"/>
  <c r="M40" i="3"/>
  <c r="M43" i="3"/>
  <c r="M6" i="5"/>
  <c r="M8" i="5"/>
  <c r="M12" i="5"/>
  <c r="M14" i="5"/>
  <c r="M15" i="5"/>
  <c r="M17" i="5"/>
  <c r="M18" i="5"/>
  <c r="M20" i="5"/>
  <c r="M21" i="5"/>
  <c r="M22" i="5"/>
  <c r="N21" i="5"/>
  <c r="N22" i="5"/>
  <c r="O21" i="5"/>
  <c r="O22" i="5"/>
  <c r="P21" i="5"/>
  <c r="P22" i="5"/>
  <c r="Q21" i="5"/>
  <c r="Q22" i="5"/>
  <c r="G6" i="5"/>
  <c r="G12" i="5"/>
  <c r="G20" i="5"/>
  <c r="F31" i="3"/>
  <c r="F39" i="3"/>
  <c r="F43" i="3"/>
  <c r="F6" i="5"/>
  <c r="F12" i="5"/>
  <c r="F20" i="5"/>
  <c r="E31" i="3"/>
  <c r="E39" i="3"/>
  <c r="E43" i="3"/>
  <c r="E6" i="5"/>
  <c r="E12" i="5"/>
  <c r="E20" i="5"/>
  <c r="D31" i="3"/>
  <c r="D39" i="3"/>
  <c r="D43" i="3"/>
  <c r="D6" i="5"/>
  <c r="D12" i="5"/>
  <c r="D20" i="5"/>
  <c r="C31" i="3"/>
  <c r="C39" i="3"/>
  <c r="C43" i="3"/>
  <c r="C6" i="5"/>
  <c r="C12" i="5"/>
  <c r="C20" i="5"/>
  <c r="C22" i="5"/>
  <c r="D21" i="5"/>
  <c r="D22" i="5"/>
  <c r="E21" i="5"/>
  <c r="E22" i="5"/>
  <c r="F21" i="5"/>
  <c r="F22" i="5"/>
  <c r="G21" i="5"/>
  <c r="G22" i="5"/>
  <c r="G17" i="5"/>
  <c r="F17" i="5"/>
  <c r="E17" i="5"/>
  <c r="D17" i="5"/>
  <c r="C17" i="5"/>
  <c r="G14" i="5"/>
  <c r="F14" i="5"/>
  <c r="E14" i="5"/>
  <c r="D14" i="5"/>
  <c r="C1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R31" i="4"/>
  <c r="R11" i="4"/>
  <c r="N12" i="4"/>
  <c r="O12" i="4"/>
  <c r="P12" i="4"/>
  <c r="Q12" i="4"/>
  <c r="R12" i="4"/>
  <c r="R63" i="4"/>
  <c r="Q31" i="4"/>
  <c r="Q11" i="4"/>
  <c r="Q63" i="4"/>
  <c r="P31" i="4"/>
  <c r="P11" i="4"/>
  <c r="P63" i="4"/>
  <c r="O31" i="4"/>
  <c r="O11" i="4"/>
  <c r="O63" i="4"/>
  <c r="N31" i="4"/>
  <c r="N11" i="4"/>
  <c r="L31" i="4"/>
  <c r="L11" i="4"/>
  <c r="L63" i="4"/>
  <c r="K31" i="4"/>
  <c r="K11" i="4"/>
  <c r="K63" i="4"/>
  <c r="J31" i="4"/>
  <c r="J11" i="4"/>
  <c r="J63" i="4"/>
  <c r="I31" i="4"/>
  <c r="I11" i="4"/>
  <c r="I63" i="4"/>
  <c r="H63" i="4"/>
  <c r="F63" i="4"/>
  <c r="E63" i="4"/>
  <c r="D63" i="4"/>
  <c r="C63" i="4"/>
  <c r="G61" i="4"/>
  <c r="F61" i="4"/>
  <c r="E61" i="4"/>
  <c r="D61" i="4"/>
  <c r="C61" i="4"/>
  <c r="G56" i="4"/>
  <c r="F56" i="4"/>
  <c r="E56" i="4"/>
  <c r="D56" i="4"/>
  <c r="C56" i="4"/>
  <c r="G55" i="4"/>
  <c r="F6" i="3"/>
  <c r="F55" i="4"/>
  <c r="E6" i="3"/>
  <c r="E55" i="4"/>
  <c r="D6" i="3"/>
  <c r="D55" i="4"/>
  <c r="C6" i="3"/>
  <c r="C55" i="4"/>
  <c r="R4" i="4"/>
  <c r="R54" i="4"/>
  <c r="Q4" i="4"/>
  <c r="Q54" i="4"/>
  <c r="P4" i="4"/>
  <c r="P54" i="4"/>
  <c r="O4" i="4"/>
  <c r="O54" i="4"/>
  <c r="N4" i="4"/>
  <c r="N54" i="4"/>
  <c r="M4" i="4"/>
  <c r="M54" i="4"/>
  <c r="L4" i="4"/>
  <c r="L54" i="4"/>
  <c r="K4" i="4"/>
  <c r="K54" i="4"/>
  <c r="J4" i="4"/>
  <c r="J54" i="4"/>
  <c r="I4" i="4"/>
  <c r="I54" i="4"/>
  <c r="H54" i="4"/>
  <c r="G4" i="4"/>
  <c r="G54" i="4"/>
  <c r="F4" i="4"/>
  <c r="F54" i="4"/>
  <c r="E4" i="4"/>
  <c r="E54" i="4"/>
  <c r="D4" i="4"/>
  <c r="D54" i="4"/>
  <c r="C4" i="4"/>
  <c r="C54" i="4"/>
  <c r="R8" i="4"/>
  <c r="H29" i="4"/>
  <c r="H33" i="4"/>
  <c r="G8" i="4"/>
  <c r="H8" i="4"/>
  <c r="H16" i="4"/>
  <c r="H17" i="4"/>
  <c r="R10" i="4"/>
  <c r="I16" i="4"/>
  <c r="J16" i="4"/>
  <c r="K16" i="4"/>
  <c r="L16" i="4"/>
  <c r="M16" i="4"/>
  <c r="N16" i="4"/>
  <c r="O16" i="4"/>
  <c r="P16" i="4"/>
  <c r="Q16" i="4"/>
  <c r="R16" i="4"/>
  <c r="I17" i="4"/>
  <c r="J17" i="4"/>
  <c r="K17" i="4"/>
  <c r="L17" i="4"/>
  <c r="M17" i="4"/>
  <c r="N17" i="4"/>
  <c r="O17" i="4"/>
  <c r="P17" i="4"/>
  <c r="Q17" i="4"/>
  <c r="R17" i="4"/>
  <c r="R15" i="4"/>
  <c r="R29" i="4"/>
  <c r="I33" i="4"/>
  <c r="J33" i="4"/>
  <c r="K33" i="4"/>
  <c r="L33" i="4"/>
  <c r="M33" i="4"/>
  <c r="N33" i="4"/>
  <c r="O33" i="4"/>
  <c r="P33" i="4"/>
  <c r="Q33" i="4"/>
  <c r="R33" i="4"/>
  <c r="R23" i="4"/>
  <c r="I41" i="4"/>
  <c r="J41" i="4"/>
  <c r="K41" i="4"/>
  <c r="L41" i="4"/>
  <c r="M41" i="4"/>
  <c r="N41" i="4"/>
  <c r="O41" i="4"/>
  <c r="P41" i="4"/>
  <c r="Q41" i="4"/>
  <c r="R41" i="4"/>
  <c r="Q8" i="4"/>
  <c r="Q10" i="4"/>
  <c r="Q15" i="4"/>
  <c r="Q29" i="4"/>
  <c r="Q23" i="4"/>
  <c r="P8" i="4"/>
  <c r="P10" i="4"/>
  <c r="P15" i="4"/>
  <c r="P29" i="4"/>
  <c r="P23" i="4"/>
  <c r="O8" i="4"/>
  <c r="O10" i="4"/>
  <c r="O15" i="4"/>
  <c r="O29" i="4"/>
  <c r="O23" i="4"/>
  <c r="N8" i="4"/>
  <c r="N10" i="4"/>
  <c r="N15" i="4"/>
  <c r="N29" i="4"/>
  <c r="N23" i="4"/>
  <c r="M8" i="4"/>
  <c r="M10" i="4"/>
  <c r="M15" i="4"/>
  <c r="M29" i="4"/>
  <c r="M23" i="4"/>
  <c r="L8" i="4"/>
  <c r="L10" i="4"/>
  <c r="L15" i="4"/>
  <c r="L29" i="4"/>
  <c r="L23" i="4"/>
  <c r="K8" i="4"/>
  <c r="K10" i="4"/>
  <c r="K15" i="4"/>
  <c r="K29" i="4"/>
  <c r="K23" i="4"/>
  <c r="J8" i="4"/>
  <c r="J10" i="4"/>
  <c r="J15" i="4"/>
  <c r="J29" i="4"/>
  <c r="J23" i="4"/>
  <c r="I8" i="4"/>
  <c r="I10" i="4"/>
  <c r="I15" i="4"/>
  <c r="I29" i="4"/>
  <c r="I23" i="4"/>
  <c r="H10" i="4"/>
  <c r="H15" i="4"/>
  <c r="G10" i="4"/>
  <c r="G15" i="4"/>
  <c r="G19" i="4"/>
  <c r="G23" i="4"/>
  <c r="G46" i="4"/>
  <c r="G47" i="4"/>
  <c r="F8" i="4"/>
  <c r="F10" i="4"/>
  <c r="F15" i="4"/>
  <c r="F19" i="4"/>
  <c r="F23" i="4"/>
  <c r="F46" i="4"/>
  <c r="F47" i="4"/>
  <c r="E8" i="4"/>
  <c r="E10" i="4"/>
  <c r="E15" i="4"/>
  <c r="E19" i="4"/>
  <c r="E23" i="4"/>
  <c r="E46" i="4"/>
  <c r="E47" i="4"/>
  <c r="D8" i="4"/>
  <c r="D10" i="4"/>
  <c r="D15" i="4"/>
  <c r="D19" i="4"/>
  <c r="D23" i="4"/>
  <c r="D46" i="4"/>
  <c r="D47" i="4"/>
  <c r="C8" i="4"/>
  <c r="C10" i="4"/>
  <c r="C15" i="4"/>
  <c r="C19" i="4"/>
  <c r="C23" i="4"/>
  <c r="C46" i="4"/>
  <c r="C47" i="4"/>
  <c r="Q47" i="3"/>
  <c r="Q48" i="3"/>
  <c r="P47" i="3"/>
  <c r="P48" i="3"/>
  <c r="O47" i="3"/>
  <c r="O48" i="3"/>
  <c r="N47" i="3"/>
  <c r="N48" i="3"/>
  <c r="M47" i="3"/>
  <c r="M48" i="3"/>
  <c r="L47" i="3"/>
  <c r="L48" i="3"/>
  <c r="K47" i="3"/>
  <c r="K48" i="3"/>
  <c r="J47" i="3"/>
  <c r="J48" i="3"/>
  <c r="I47" i="3"/>
  <c r="I48" i="3"/>
  <c r="H47" i="3"/>
  <c r="H48" i="3"/>
  <c r="F47" i="3"/>
  <c r="F48" i="3"/>
  <c r="E47" i="3"/>
  <c r="E48" i="3"/>
  <c r="D47" i="3"/>
  <c r="D48" i="3"/>
  <c r="C47" i="3"/>
  <c r="C48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Q26" i="3"/>
  <c r="P26" i="3"/>
  <c r="O26" i="3"/>
  <c r="N26" i="3"/>
  <c r="M26" i="3"/>
  <c r="L26" i="3"/>
  <c r="K26" i="3"/>
  <c r="J26" i="3"/>
  <c r="I26" i="3"/>
  <c r="H26" i="3"/>
  <c r="F26" i="3"/>
  <c r="E26" i="3"/>
  <c r="D26" i="3"/>
  <c r="C26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Q11" i="3"/>
  <c r="P11" i="3"/>
  <c r="O11" i="3"/>
  <c r="N11" i="3"/>
  <c r="M11" i="3"/>
  <c r="L11" i="3"/>
  <c r="K11" i="3"/>
  <c r="J11" i="3"/>
  <c r="I11" i="3"/>
  <c r="H11" i="3"/>
  <c r="F11" i="3"/>
  <c r="E11" i="3"/>
  <c r="D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Q7" i="3"/>
  <c r="P7" i="3"/>
  <c r="O7" i="3"/>
  <c r="N7" i="3"/>
  <c r="M7" i="3"/>
  <c r="G7" i="3"/>
  <c r="F7" i="3"/>
  <c r="E7" i="3"/>
  <c r="D7" i="3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N63" i="4"/>
  <c r="H19" i="11"/>
  <c r="C28" i="11"/>
  <c r="H20" i="11"/>
  <c r="C27" i="9" l="1"/>
  <c r="C23" i="11"/>
  <c r="R47" i="4"/>
  <c r="R19" i="4"/>
  <c r="R9" i="4"/>
  <c r="L46" i="4"/>
  <c r="L44" i="4"/>
  <c r="L47" i="4"/>
  <c r="L19" i="4"/>
  <c r="P47" i="4"/>
  <c r="P19" i="4"/>
  <c r="O46" i="4"/>
  <c r="O44" i="4"/>
  <c r="M47" i="4"/>
  <c r="M19" i="4"/>
  <c r="I47" i="4"/>
  <c r="I19" i="4"/>
  <c r="J47" i="4"/>
  <c r="J19" i="4"/>
  <c r="K46" i="4"/>
  <c r="K44" i="4"/>
  <c r="R40" i="4"/>
  <c r="R44" i="4"/>
  <c r="R46" i="4"/>
  <c r="C27" i="11"/>
  <c r="C29" i="11"/>
  <c r="H47" i="4"/>
  <c r="H19" i="4"/>
  <c r="O19" i="4"/>
  <c r="O47" i="4"/>
  <c r="C22" i="10"/>
  <c r="C19" i="10"/>
  <c r="C18" i="11"/>
  <c r="C20" i="11"/>
  <c r="C22" i="11"/>
  <c r="C26" i="9"/>
  <c r="I44" i="4"/>
  <c r="I46" i="4"/>
  <c r="N44" i="4"/>
  <c r="N46" i="4"/>
  <c r="K19" i="4"/>
  <c r="K47" i="4"/>
  <c r="F12" i="10"/>
  <c r="P44" i="4"/>
  <c r="P46" i="4"/>
  <c r="Q47" i="4"/>
  <c r="O9" i="4"/>
  <c r="P9" i="4"/>
  <c r="Q9" i="4"/>
  <c r="Q19" i="4"/>
  <c r="Q46" i="4"/>
  <c r="N40" i="4"/>
  <c r="O40" i="4"/>
  <c r="P40" i="4"/>
  <c r="Q40" i="4"/>
  <c r="Q44" i="4"/>
  <c r="K40" i="4"/>
  <c r="L40" i="4"/>
  <c r="M40" i="4"/>
  <c r="M44" i="4"/>
  <c r="M46" i="4"/>
  <c r="I40" i="4"/>
  <c r="J40" i="4"/>
  <c r="J44" i="4"/>
  <c r="J46" i="4"/>
  <c r="F11" i="10"/>
  <c r="C22" i="9"/>
  <c r="G19" i="10"/>
  <c r="G22" i="10"/>
  <c r="D13" i="10"/>
  <c r="D14" i="10"/>
  <c r="D12" i="10"/>
  <c r="H40" i="4"/>
  <c r="H44" i="4"/>
  <c r="H46" i="4"/>
  <c r="H9" i="4"/>
  <c r="I9" i="4"/>
  <c r="J9" i="4"/>
  <c r="K9" i="4"/>
  <c r="L9" i="4"/>
  <c r="M9" i="4"/>
  <c r="N9" i="4"/>
  <c r="N19" i="4"/>
  <c r="N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tc={84B914E7-7578-CD49-9673-180709B00A86}</author>
    <author>Unknown Author</author>
  </authors>
  <commentList>
    <comment ref="B20" authorId="0" shapeId="0" xr:uid="{84B914E7-7578-CD49-9673-180709B00A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add our assumptions!!
</t>
      </text>
    </comment>
    <comment ref="M36" authorId="1" shapeId="0" xr:uid="{00000000-0006-0000-0100-000004000000}">
      <text>
        <r>
          <rPr>
            <sz val="10"/>
            <rFont val="Arial"/>
            <family val="2"/>
          </rPr>
          <t>Assumed growth will reach to 10% in the next 5 years following an increasing trend for healthy drinks</t>
        </r>
      </text>
    </comment>
    <comment ref="M44" authorId="1" shapeId="0" xr:uid="{00000000-0006-0000-0100-000005000000}">
      <text>
        <r>
          <rPr>
            <sz val="10"/>
            <color rgb="FF000000"/>
            <rFont val="Arial"/>
            <family val="2"/>
          </rPr>
          <t>Assumed growth will reach to a moderate level of 8% in the next 5 years.</t>
        </r>
      </text>
    </comment>
    <comment ref="M52" authorId="1" shapeId="0" xr:uid="{00000000-0006-0000-0100-000006000000}">
      <text>
        <r>
          <rPr>
            <sz val="10"/>
            <rFont val="Arial"/>
            <family val="2"/>
          </rPr>
          <t>Assumed a slow growth in the next 5 years and then a gradual decline after 5 years with increasing shift of focus towards health drinks</t>
        </r>
      </text>
    </comment>
    <comment ref="I61" authorId="1" shapeId="0" xr:uid="{00000000-0006-0000-0100-000001000000}">
      <text>
        <r>
          <rPr>
            <sz val="10"/>
            <rFont val="Arial"/>
            <family val="2"/>
          </rPr>
          <t>Assumed at average of last 5 years level to continue in future</t>
        </r>
      </text>
    </comment>
    <comment ref="I69" authorId="1" shapeId="0" xr:uid="{00000000-0006-0000-0100-000002000000}">
      <text>
        <r>
          <rPr>
            <sz val="10"/>
            <rFont val="Arial"/>
            <family val="2"/>
          </rPr>
          <t>Assumed that 2011 level to continue in future</t>
        </r>
      </text>
    </comment>
    <comment ref="I78" authorId="1" shapeId="0" xr:uid="{00000000-0006-0000-0100-000003000000}">
      <text>
        <r>
          <rPr>
            <sz val="10"/>
            <rFont val="Arial"/>
            <family val="2"/>
          </rPr>
          <t>Assumed that 2011 level to continue in future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Q84" authorId="0" shapeId="0" xr:uid="{00000000-0006-0000-0200-000001000000}">
      <text>
        <r>
          <rPr>
            <sz val="10"/>
            <rFont val="Arial"/>
            <family val="2"/>
          </rPr>
          <t xml:space="preserve">Gradually increased to 95% of capex in the perpetuity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5" authorId="0" shapeId="0" xr:uid="{00000000-0006-0000-0300-000001000000}">
      <text>
        <r>
          <rPr>
            <sz val="10"/>
            <rFont val="Arial"/>
            <family val="2"/>
          </rPr>
          <t>Balancing Figure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500-000001000000}">
      <text>
        <r>
          <rPr>
            <sz val="10"/>
            <rFont val="Arial"/>
            <family val="2"/>
          </rPr>
          <t>Assumed full depreciation of assets sold and zero salvage value</t>
        </r>
      </text>
    </comment>
    <comment ref="H8" authorId="0" shapeId="0" xr:uid="{00000000-0006-0000-0500-000003000000}">
      <text>
        <r>
          <rPr>
            <sz val="10"/>
            <rFont val="Arial"/>
            <family val="2"/>
          </rPr>
          <t>Assumed full depreciation of assets sold and zero salvage value</t>
        </r>
      </text>
    </comment>
    <comment ref="C9" authorId="0" shapeId="0" xr:uid="{00000000-0006-0000-0500-000002000000}">
      <text>
        <r>
          <rPr>
            <sz val="10"/>
            <rFont val="Arial"/>
            <family val="2"/>
          </rPr>
          <t>Assumed same as 2008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600-000001000000}">
      <text>
        <r>
          <rPr>
            <sz val="10"/>
            <rFont val="Arial"/>
            <family val="2"/>
          </rPr>
          <t>Assumed a repayment of $5m based on trend between 2008-2011</t>
        </r>
      </text>
    </comment>
    <comment ref="C10" authorId="0" shapeId="0" xr:uid="{00000000-0006-0000-0600-000002000000}">
      <text>
        <r>
          <rPr>
            <sz val="10"/>
            <rFont val="Arial"/>
            <family val="2"/>
          </rPr>
          <t xml:space="preserve">Assumed a 1% spread to sovereing bonds yield of 5%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9" authorId="0" shapeId="0" xr:uid="{00000000-0006-0000-0900-000001000000}">
      <text>
        <r>
          <rPr>
            <sz val="10"/>
            <color rgb="FF000000"/>
            <rFont val="Arial"/>
            <family val="2"/>
          </rPr>
          <t>Assumed Interest rate &amp; tenure</t>
        </r>
      </text>
    </comment>
    <comment ref="F9" authorId="0" shapeId="0" xr:uid="{00000000-0006-0000-0900-000003000000}">
      <text>
        <r>
          <rPr>
            <sz val="10"/>
            <color rgb="FF000000"/>
            <rFont val="Arial"/>
            <family val="2"/>
          </rPr>
          <t>Assumed Interest rate &amp; tenure</t>
        </r>
      </text>
    </comment>
    <comment ref="E10" authorId="0" shapeId="0" xr:uid="{00000000-0006-0000-0900-000002000000}">
      <text>
        <r>
          <rPr>
            <sz val="10"/>
            <color rgb="FF000000"/>
            <rFont val="Arial"/>
            <family val="2"/>
          </rPr>
          <t>Assumed Interest rate &amp; tenure</t>
        </r>
      </text>
    </comment>
    <comment ref="F10" authorId="0" shapeId="0" xr:uid="{00000000-0006-0000-0900-000004000000}">
      <text>
        <r>
          <rPr>
            <sz val="10"/>
            <color rgb="FF000000"/>
            <rFont val="Arial"/>
            <family val="2"/>
          </rPr>
          <t>Assumed Interest rate &amp; tenure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B00-000001000000}">
      <text>
        <r>
          <rPr>
            <sz val="10"/>
            <rFont val="Arial"/>
            <family val="2"/>
          </rPr>
          <t>Assumed a hurdle rate of 15% as the proposal is evaluated from the perspective of a private equity player</t>
        </r>
      </text>
    </comment>
  </commentList>
</comments>
</file>

<file path=xl/sharedStrings.xml><?xml version="1.0" encoding="utf-8"?>
<sst xmlns="http://schemas.openxmlformats.org/spreadsheetml/2006/main" count="447" uniqueCount="359">
  <si>
    <t>PPE Schedule</t>
  </si>
  <si>
    <t>WACC Calculation</t>
  </si>
  <si>
    <t>Select Case</t>
  </si>
  <si>
    <t>Base Case</t>
  </si>
  <si>
    <t>Downside case</t>
  </si>
  <si>
    <t>Upside case</t>
  </si>
  <si>
    <t>Agency Revenue Growth</t>
  </si>
  <si>
    <t>Actual</t>
  </si>
  <si>
    <t>Base</t>
  </si>
  <si>
    <t>Downside</t>
  </si>
  <si>
    <t>Upside</t>
  </si>
  <si>
    <t>New Homes Revenue Growth</t>
  </si>
  <si>
    <t>Other Revenue Growth</t>
  </si>
  <si>
    <t>SG&amp;A as % of Revenue</t>
  </si>
  <si>
    <t>D&amp;A as % of Revenue</t>
  </si>
  <si>
    <t>Capex as % of Revenue</t>
  </si>
  <si>
    <t>Tax Rate</t>
  </si>
  <si>
    <t>UK corporate tax rate</t>
  </si>
  <si>
    <t>Rightmove plc - Income Statement</t>
  </si>
  <si>
    <t>(YE 31-Dec, £m)</t>
  </si>
  <si>
    <t>Total Revenue</t>
  </si>
  <si>
    <t>% Growth</t>
  </si>
  <si>
    <t>Agency Revenue</t>
  </si>
  <si>
    <t xml:space="preserve">  % of Total Revenue</t>
  </si>
  <si>
    <t xml:space="preserve">  % Growth</t>
  </si>
  <si>
    <t>New Homes Revenue</t>
  </si>
  <si>
    <t>Other Revenue</t>
  </si>
  <si>
    <t>Operating Expenses (SG&amp;A)</t>
  </si>
  <si>
    <t xml:space="preserve">  % of Revenue</t>
  </si>
  <si>
    <t>EBITDA</t>
  </si>
  <si>
    <t xml:space="preserve">  % margin</t>
  </si>
  <si>
    <t>Depreciation &amp; Amortisation + Other</t>
  </si>
  <si>
    <t>EBIT</t>
  </si>
  <si>
    <t>Capital Expenditure (memo)</t>
  </si>
  <si>
    <t>Interest Expense</t>
  </si>
  <si>
    <t>EBT (Pretax Income)</t>
  </si>
  <si>
    <t>Income Taxes</t>
  </si>
  <si>
    <t xml:space="preserve">  Effective tax rate</t>
  </si>
  <si>
    <t>Net Income</t>
  </si>
  <si>
    <t>EBITDA - Capex</t>
  </si>
  <si>
    <t xml:space="preserve">  EBITDA - Capex / EBITDA</t>
  </si>
  <si>
    <t>Rightmove plc - Balance Sheet</t>
  </si>
  <si>
    <t>2025 (Adj.)</t>
  </si>
  <si>
    <t>ASSETS</t>
  </si>
  <si>
    <t>Net PP&amp;E</t>
  </si>
  <si>
    <t>Goodwill (from LBO)</t>
  </si>
  <si>
    <t>Current Assets</t>
  </si>
  <si>
    <t>Cash And Equivalents</t>
  </si>
  <si>
    <t>Short Term Investments</t>
  </si>
  <si>
    <t>Accounts &amp; Notes Receivable</t>
  </si>
  <si>
    <t>Other Current Assets</t>
  </si>
  <si>
    <t>Long Term Assets</t>
  </si>
  <si>
    <t>Deferred Charges, LT</t>
  </si>
  <si>
    <t>Other Long-Term Assets</t>
  </si>
  <si>
    <t>Total Assets</t>
  </si>
  <si>
    <t>LIABILITIES &amp; EQUITY</t>
  </si>
  <si>
    <t>LIABILITIES</t>
  </si>
  <si>
    <t>Accrued Exp.</t>
  </si>
  <si>
    <t>Short-term Borrowings</t>
  </si>
  <si>
    <t>Accounts Payable</t>
  </si>
  <si>
    <t>Curr. Income Taxes Payable</t>
  </si>
  <si>
    <t>Other Current Liabilities</t>
  </si>
  <si>
    <t xml:space="preserve">  Total Current Liabilities</t>
  </si>
  <si>
    <t>Long-Term Debt</t>
  </si>
  <si>
    <t>Unearned Revenue, Non-Current</t>
  </si>
  <si>
    <t>Other Non-Current Liabilities</t>
  </si>
  <si>
    <t>Pref. Stock, Non-Redeem.</t>
  </si>
  <si>
    <t xml:space="preserve">  Total Pref. Equity</t>
  </si>
  <si>
    <t>Minority Interest</t>
  </si>
  <si>
    <t>Common Stock</t>
  </si>
  <si>
    <t>Additional Paid In Capital</t>
  </si>
  <si>
    <t>Retained Earnings</t>
  </si>
  <si>
    <t>Treasury Stock</t>
  </si>
  <si>
    <t>Comprehensive Inc. and Other</t>
  </si>
  <si>
    <t>Total Equity</t>
  </si>
  <si>
    <t>Total Liab. &amp; Equity</t>
  </si>
  <si>
    <t>Balance Check (Assets - L&amp;E)</t>
  </si>
  <si>
    <t>Working Capital Days Assumptions</t>
  </si>
  <si>
    <t>AR Days</t>
  </si>
  <si>
    <t>AP Days</t>
  </si>
  <si>
    <t>Working Capital</t>
  </si>
  <si>
    <t>Net Debt</t>
  </si>
  <si>
    <t>Rightmove plc - Cash Flow Statement</t>
  </si>
  <si>
    <t>Depreciation &amp; Amort., Total</t>
  </si>
  <si>
    <t>Other Non-Cash Adj</t>
  </si>
  <si>
    <t>Changes in Non-Cash Capital</t>
  </si>
  <si>
    <t>Cash Flow from Operating Activities</t>
  </si>
  <si>
    <t>Capital Expenditure</t>
  </si>
  <si>
    <t>Cash Flow from Investing Activities</t>
  </si>
  <si>
    <t>Debt Repayment</t>
  </si>
  <si>
    <t>Cash Flow from Financing Activities</t>
  </si>
  <si>
    <t>Net Change in Cash</t>
  </si>
  <si>
    <t>Opening Cash</t>
  </si>
  <si>
    <t>Closing Cash</t>
  </si>
  <si>
    <t>Supplemental Items</t>
  </si>
  <si>
    <t>Cash Interest Paid</t>
  </si>
  <si>
    <t>Cash Taxes Paid</t>
  </si>
  <si>
    <t>Free Cash Flow</t>
  </si>
  <si>
    <t>Change in Net Working Capital</t>
  </si>
  <si>
    <t>(£m)</t>
  </si>
  <si>
    <t>Opening Balance</t>
  </si>
  <si>
    <t>(+) Additions (Capex)</t>
  </si>
  <si>
    <t>(+) Lease Additions / Other</t>
  </si>
  <si>
    <t>(-) Sale</t>
  </si>
  <si>
    <t>(-) Depreciation</t>
  </si>
  <si>
    <t>Closing Balance</t>
  </si>
  <si>
    <t>Note: Lease Additions captures IFRS 16 right-of-use asset additions and other PP&amp;E movements</t>
  </si>
  <si>
    <t>not included in cash capex. Historical values plugged to Bloomberg closing balances.</t>
  </si>
  <si>
    <t>Historical lease additions plugged to reconcile to Bloomberg closing balances.</t>
  </si>
  <si>
    <t>Projected lease additions = 0 (simplification: existing leases depreciate down).</t>
  </si>
  <si>
    <t>PPE going to £0 by 2035 is immaterial vs. £3.5bn enterprise value.</t>
  </si>
  <si>
    <t>Debt Schedule (Pre-LBO)</t>
  </si>
  <si>
    <t>(+) Additions</t>
  </si>
  <si>
    <t>(-) Repayment</t>
  </si>
  <si>
    <t>Avg Interest Rate (pre-LBO)</t>
  </si>
  <si>
    <t>NOTE: This sheet shows the PRE-LBO debt structure only (2021-2025).</t>
  </si>
  <si>
    <t>At LBO close (end-2025), Rightmove's existing £3.6m of debt is repaid as part of the</t>
  </si>
  <si>
    <t>transaction and replaced with a new LBO capital structure: £1,333m Senior Debt (4.5x</t>
  </si>
  <si>
    <t>LTM EBITDA at 7.5%, 7-year amortising) + £444m Subordinated Debt (1.5x at 9.5%, 8-year</t>
  </si>
  <si>
    <t>bullet). The full post-LBO debt schedule lives in the 'LBO Modelling' sheet, rows</t>
  </si>
  <si>
    <t>26-58. Interest expense in IS!37 and debt repayments in CF!17 pull from there.</t>
  </si>
  <si>
    <t>Rightmove plc</t>
  </si>
  <si>
    <t>Discounted Cash Flow Valuation</t>
  </si>
  <si>
    <t>(-) D&amp;A</t>
  </si>
  <si>
    <t>(-) Taxes on EBIT (unlevered)</t>
  </si>
  <si>
    <t>(-) Capex</t>
  </si>
  <si>
    <t>(-) Δ NWC</t>
  </si>
  <si>
    <t>Unlevered FCF</t>
  </si>
  <si>
    <t>Discount Factor</t>
  </si>
  <si>
    <t>Discounted FCF</t>
  </si>
  <si>
    <t>WACC</t>
  </si>
  <si>
    <t>Perpetuity Growth Rate</t>
  </si>
  <si>
    <t>Terminal Value</t>
  </si>
  <si>
    <t>Discounted Terminal Value</t>
  </si>
  <si>
    <t>PV of Explicit Cash Flows</t>
  </si>
  <si>
    <t>Enterprise Value</t>
  </si>
  <si>
    <t>Less: Net Debt (current)</t>
  </si>
  <si>
    <t>Less: Minority Interest</t>
  </si>
  <si>
    <t>Equity Value (Standalone)</t>
  </si>
  <si>
    <t>Implied EV / FY+1 EBITDA</t>
  </si>
  <si>
    <t>Implied EV / FY+1 EBIT</t>
  </si>
  <si>
    <t>Leveraged Buyout Analysis</t>
  </si>
  <si>
    <t>Company Overview</t>
  </si>
  <si>
    <t>Ticker: RMV LN (London Stock Exchange)</t>
  </si>
  <si>
    <t>Sector: RE Online Platform</t>
  </si>
  <si>
    <t>Description: UK's largest online real estate portal, listing residential and commercial property for sale and rent. Operates rightmove.co.uk.</t>
  </si>
  <si>
    <t>Key Statistics (FY2025A)</t>
  </si>
  <si>
    <t>Revenue (£m)</t>
  </si>
  <si>
    <t>EBITDA (£m)</t>
  </si>
  <si>
    <t>EBITDA Margin</t>
  </si>
  <si>
    <t>Net Income (£m)</t>
  </si>
  <si>
    <t>FCF Conversion (EBITDA-Capex / EBITDA)</t>
  </si>
  <si>
    <t>LBO Transaction Summary</t>
  </si>
  <si>
    <t>Entry Multiple (EV/LTM EBITDA)</t>
  </si>
  <si>
    <t>Enterprise Value (£m)</t>
  </si>
  <si>
    <t>Total Debt (£m)</t>
  </si>
  <si>
    <t>Sponsor Equity (£m)</t>
  </si>
  <si>
    <t>Leverage (Debt / LTM EBITDA)</t>
  </si>
  <si>
    <t>Returns (5-Year Hold, Exit 2030)</t>
  </si>
  <si>
    <t>IRR</t>
  </si>
  <si>
    <t>MOIC</t>
  </si>
  <si>
    <t>Rightmove plc - LBO Transaction &amp; Debt Schedule</t>
  </si>
  <si>
    <t>LTM EBITDA (2025A)</t>
  </si>
  <si>
    <t>Other Inputs</t>
  </si>
  <si>
    <t>EBITDA FY+1 (2026E)</t>
  </si>
  <si>
    <t>Senior Amortisation %</t>
  </si>
  <si>
    <t>p.a. of original balance</t>
  </si>
  <si>
    <t>Entry Multiple (LTM EV/EBITDA)</t>
  </si>
  <si>
    <t>Cash Sweep %</t>
  </si>
  <si>
    <t>of surplus cash to Senior</t>
  </si>
  <si>
    <t>Leverage (Total Debt / LTM EBITDA)</t>
  </si>
  <si>
    <t>Revolver Capacity (£m)</t>
  </si>
  <si>
    <t>undrawn at close</t>
  </si>
  <si>
    <t>Total LBO Debt</t>
  </si>
  <si>
    <t>Revolver Interest Rate</t>
  </si>
  <si>
    <t>on drawn balance</t>
  </si>
  <si>
    <t xml:space="preserve">  Senior Debt</t>
  </si>
  <si>
    <t>10+ years</t>
  </si>
  <si>
    <t>Revolver Commitment Fee</t>
  </si>
  <si>
    <t>on undrawn balance</t>
  </si>
  <si>
    <t xml:space="preserve">  Subordinated Debt</t>
  </si>
  <si>
    <t>8 years</t>
  </si>
  <si>
    <t>% Equity:</t>
  </si>
  <si>
    <t>Avg Cost of Debt</t>
  </si>
  <si>
    <t>Equity Investment (Sponsor)</t>
  </si>
  <si>
    <t>% Debt:</t>
  </si>
  <si>
    <t>Cash Flow Before Debt Service</t>
  </si>
  <si>
    <t>Less:</t>
  </si>
  <si>
    <t xml:space="preserve">  Interest Payments</t>
  </si>
  <si>
    <t xml:space="preserve">  All Debt Repayments / (Draws)</t>
  </si>
  <si>
    <t>Cash to Equity (after all debt service)</t>
  </si>
  <si>
    <t>Senior Debt</t>
  </si>
  <si>
    <t>Period</t>
  </si>
  <si>
    <t>(-) Mandatory Repayment</t>
  </si>
  <si>
    <t>(-) Cash Sweep</t>
  </si>
  <si>
    <t>Interest Rate</t>
  </si>
  <si>
    <t>Interest Expense (Senior)</t>
  </si>
  <si>
    <t>Revolver</t>
  </si>
  <si>
    <t>(+) Draw</t>
  </si>
  <si>
    <t>Commitment Fee</t>
  </si>
  <si>
    <t>Interest Expense (Revolver)</t>
  </si>
  <si>
    <t>Commitment Fee Expense</t>
  </si>
  <si>
    <t>Subordinated Debt</t>
  </si>
  <si>
    <t>Interest Expense (Sub)</t>
  </si>
  <si>
    <t>Total Debt Service</t>
  </si>
  <si>
    <t>Interest (flows to IS)</t>
  </si>
  <si>
    <t>Repayment (flows to CF)</t>
  </si>
  <si>
    <t>Total Debt Outstanding</t>
  </si>
  <si>
    <t>PE Returns Analysis - 5-Year Hold (Exit YE 2030)</t>
  </si>
  <si>
    <t>5-Year Exit Scenario</t>
  </si>
  <si>
    <t>EBITDA at Entry (LTM 2025A)</t>
  </si>
  <si>
    <t>Exit Multiple (assumed = entry)</t>
  </si>
  <si>
    <t>EBITDA at Exit (2030E)</t>
  </si>
  <si>
    <t>Enterprise Value at Exit</t>
  </si>
  <si>
    <t>Less: Net Debt at Exit</t>
  </si>
  <si>
    <t>Equity Value at Exit</t>
  </si>
  <si>
    <t>IRR Calculation</t>
  </si>
  <si>
    <t>Entry</t>
  </si>
  <si>
    <t>2026</t>
  </si>
  <si>
    <t>2027</t>
  </si>
  <si>
    <t>2028</t>
  </si>
  <si>
    <t>2029</t>
  </si>
  <si>
    <t>2030</t>
  </si>
  <si>
    <t>Sponsor Cash Flows</t>
  </si>
  <si>
    <t xml:space="preserve">  Initial Equity Investment</t>
  </si>
  <si>
    <t xml:space="preserve">  Equity Proceeds at Exit</t>
  </si>
  <si>
    <t>Total Cash Flows</t>
  </si>
  <si>
    <t>IRR (5-year)</t>
  </si>
  <si>
    <t>MOIC (Money Multiple)</t>
  </si>
  <si>
    <t>Returns Summary</t>
  </si>
  <si>
    <t>Entry Equity Investment</t>
  </si>
  <si>
    <t>Exit Equity Value</t>
  </si>
  <si>
    <t>Total Equity Gain</t>
  </si>
  <si>
    <t>Deal Sources of Returns</t>
  </si>
  <si>
    <t xml:space="preserve">  EBITDA Growth Contribution (£m)</t>
  </si>
  <si>
    <t xml:space="preserve">  Multiple Expansion (£m)</t>
  </si>
  <si>
    <t xml:space="preserve">  Net Debt Paydown (£m)</t>
  </si>
  <si>
    <t>Target Capital Structure</t>
  </si>
  <si>
    <t>Debt %</t>
  </si>
  <si>
    <t>Equity %</t>
  </si>
  <si>
    <t>Cost of Equity (CAPM)</t>
  </si>
  <si>
    <t xml:space="preserve">  Risk-free rate (UK 10Y)</t>
  </si>
  <si>
    <t>UK 10y on Bloomberg on May 14th, 3pm</t>
  </si>
  <si>
    <t xml:space="preserve">  Equity Risk Premium</t>
  </si>
  <si>
    <t xml:space="preserve">  Beta (Rightmove, levered)</t>
  </si>
  <si>
    <t>Cost of Equity (Re)</t>
  </si>
  <si>
    <t>Cost of Debt</t>
  </si>
  <si>
    <t xml:space="preserve">  Pre-tax Cost of Debt</t>
  </si>
  <si>
    <t xml:space="preserve">  Tax Rate</t>
  </si>
  <si>
    <t>After-tax Cost of Debt</t>
  </si>
  <si>
    <t>Rightmove plc - Valuation Football Field</t>
  </si>
  <si>
    <t>FY+1 EBITDA (2026E)</t>
  </si>
  <si>
    <t>Trading Comps EV/EBITDA</t>
  </si>
  <si>
    <t>FY+1 EBITDA</t>
  </si>
  <si>
    <t>DCF (10-12% WACC, 2-3% PGR)</t>
  </si>
  <si>
    <t>WACC / PGR sensitivity</t>
  </si>
  <si>
    <t>LBO (5-year exit, 12x exit)</t>
  </si>
  <si>
    <t>5-yr exit, 12x exit mult, 20-25% IRR target</t>
  </si>
  <si>
    <t>Current Trading</t>
  </si>
  <si>
    <t>Charts (to be populated as needed)</t>
  </si>
  <si>
    <t>Company</t>
  </si>
  <si>
    <t>12.5x</t>
  </si>
  <si>
    <t>Bear</t>
  </si>
  <si>
    <t>Bull</t>
  </si>
  <si>
    <t>Key driver</t>
  </si>
  <si>
    <t>Mortgage rate drag, AI capex headwind, margin pressure</t>
  </si>
  <si>
    <t>Steady subscription uplift, stable market share, margin recovery</t>
  </si>
  <si>
    <t>New verticals monetised, AI-driven ARPA growth, re-rate at exit</t>
  </si>
  <si>
    <t>Revenue 2030E</t>
  </si>
  <si>
    <t>£523m</t>
  </si>
  <si>
    <t>£615m</t>
  </si>
  <si>
    <t>£684m</t>
  </si>
  <si>
    <t>EBITDA 2030E</t>
  </si>
  <si>
    <t>Exit EV</t>
  </si>
  <si>
    <t>£638m</t>
  </si>
  <si>
    <t>Geography</t>
  </si>
  <si>
    <t>EV (£bn)</t>
  </si>
  <si>
    <t>EV/EBITDA LTM</t>
  </si>
  <si>
    <t>Rev Growth</t>
  </si>
  <si>
    <t>Justification</t>
  </si>
  <si>
    <t>REA Group (ASX:REA)</t>
  </si>
  <si>
    <t>Australia</t>
  </si>
  <si>
    <t>£19.3bn</t>
  </si>
  <si>
    <t>#1 Australian portal; closest structural analog. Premium multiple reflects stronger ARPA monetisation &amp; vendor-paid model. Benchmark ceiling.</t>
  </si>
  <si>
    <t>Germany</t>
  </si>
  <si>
    <t>£8.0bn</t>
  </si>
  <si>
    <t>#1 German residential/commercial portal. Post-ImmoScout focus. High margin &amp; platform diversification. Most comparable model ex-UK.</t>
  </si>
  <si>
    <t>Sweden</t>
  </si>
  <si>
    <t>£2.2bn</t>
  </si>
  <si>
    <t>#1 Nordic portal; vendor-paid ads driving rapid ARPU expansion. Smaller scale but high-growth premium justified.</t>
  </si>
  <si>
    <t>Zillow Group (NASDAQ:Z)</t>
  </si>
  <si>
    <t>USA</t>
  </si>
  <si>
    <t>£7.4bn</t>
  </si>
  <si>
    <t>Leading US portal. Lower margin due to buyer agent model; included for breadth. Lower relevance to UK pure-play.</t>
  </si>
  <si>
    <t>CoStar Group (NASDAQ:CSGP)</t>
  </si>
  <si>
    <t>USA/UK</t>
  </si>
  <si>
    <t>£24.0bn</t>
  </si>
  <si>
    <t>Commercial RE data + residential portals (Homes.com). High growth but low margin; strategic read-through for OTM threat.</t>
  </si>
  <si>
    <t>Rightmove (RMV.L) — CURRENT</t>
  </si>
  <si>
    <t>UK</t>
  </si>
  <si>
    <t>Revenue CAGR (2025-2030)</t>
  </si>
  <si>
    <t xml:space="preserve">  Margin</t>
  </si>
  <si>
    <t>£366m</t>
  </si>
  <si>
    <t>£443m</t>
  </si>
  <si>
    <t>£503m</t>
  </si>
  <si>
    <t>£4,026m</t>
  </si>
  <si>
    <t xml:space="preserve">11.0x </t>
  </si>
  <si>
    <t xml:space="preserve">  Exit Multiple (EV/EBITDA)</t>
  </si>
  <si>
    <t>£5,532m</t>
  </si>
  <si>
    <t>£6,785m</t>
  </si>
  <si>
    <t>13.5x</t>
  </si>
  <si>
    <t xml:space="preserve">Net debt at Exit </t>
  </si>
  <si>
    <r>
      <t xml:space="preserve">Entry EV </t>
    </r>
    <r>
      <rPr>
        <sz val="11"/>
        <color theme="3" tint="-0.249977111117893"/>
        <rFont val="Arial"/>
        <family val="2"/>
      </rPr>
      <t xml:space="preserve">£3,703m    </t>
    </r>
    <r>
      <rPr>
        <sz val="11"/>
        <color theme="3" tint="-0.249977111117893"/>
        <rFont val="Arial"/>
        <family val="2"/>
      </rPr>
      <t xml:space="preserve">EV/EBITDA </t>
    </r>
    <r>
      <rPr>
        <sz val="11"/>
        <color theme="3" tint="-0.249977111117893"/>
        <rFont val="Arial"/>
        <family val="2"/>
      </rPr>
      <t xml:space="preserve">12.5x    </t>
    </r>
    <r>
      <rPr>
        <sz val="11"/>
        <color theme="3" tint="-0.249977111117893"/>
        <rFont val="Arial"/>
        <family val="2"/>
      </rPr>
      <t xml:space="preserve">Debt (6.0x) </t>
    </r>
    <r>
      <rPr>
        <sz val="11"/>
        <color theme="3" tint="-0.249977111117893"/>
        <rFont val="Arial"/>
        <family val="2"/>
      </rPr>
      <t xml:space="preserve">£1,777m    </t>
    </r>
    <r>
      <rPr>
        <sz val="11"/>
        <color theme="3" tint="-0.249977111117893"/>
        <rFont val="Arial"/>
        <family val="2"/>
      </rPr>
      <t xml:space="preserve">Equity in </t>
    </r>
    <r>
      <rPr>
        <sz val="11"/>
        <color theme="3" tint="-0.249977111117893"/>
        <rFont val="Arial"/>
        <family val="2"/>
      </rPr>
      <t xml:space="preserve">£1,629m    </t>
    </r>
    <r>
      <rPr>
        <sz val="11"/>
        <color theme="3" tint="-0.249977111117893"/>
        <rFont val="Arial"/>
        <family val="2"/>
      </rPr>
      <t xml:space="preserve">Hold </t>
    </r>
    <r>
      <rPr>
        <sz val="11"/>
        <color theme="3" tint="-0.249977111117893"/>
        <rFont val="Arial"/>
        <family val="2"/>
      </rPr>
      <t>5 years (exit 2030)</t>
    </r>
  </si>
  <si>
    <t>SOURCES</t>
  </si>
  <si>
    <t>USES</t>
  </si>
  <si>
    <t>Sponsor Equity</t>
  </si>
  <si>
    <t>Total Sources</t>
  </si>
  <si>
    <t>Repay Existing Debt</t>
  </si>
  <si>
    <t>Transaction Fees (2.5% EV)</t>
  </si>
  <si>
    <t>Financing Fees (2.0% debt)</t>
  </si>
  <si>
    <t>Min Cash at Close</t>
  </si>
  <si>
    <t>Total Uses</t>
  </si>
  <si>
    <t>Senior Debt (5.0x LTM EBITDA)</t>
  </si>
  <si>
    <t>Subordinated Debt (2.0x LTM EBITDA)</t>
  </si>
  <si>
    <t>1.96x</t>
  </si>
  <si>
    <t>£826m</t>
  </si>
  <si>
    <t>£494m</t>
  </si>
  <si>
    <t>3.86x</t>
  </si>
  <si>
    <t>3.00x</t>
  </si>
  <si>
    <t>Hemnet Group AB (STO:HEM.ST)</t>
  </si>
  <si>
    <t>Scout24 SE (XETRA:G24.DE)</t>
  </si>
  <si>
    <t>Transaction Fees (% of EV)</t>
  </si>
  <si>
    <t>Financing Fees (% of debt)</t>
  </si>
  <si>
    <t>Min Cash Balance (£m)</t>
  </si>
  <si>
    <t>3. OPERATING MODEL ASSUMPTIONS</t>
  </si>
  <si>
    <t>Acquisition Cost</t>
  </si>
  <si>
    <t>TOTAL ACQUISITION PRICE</t>
  </si>
  <si>
    <t>Equity Value</t>
  </si>
  <si>
    <t>Purchase price</t>
  </si>
  <si>
    <t xml:space="preserve">PEER MEDIAN </t>
  </si>
  <si>
    <t xml:space="preserve">Entry Multiple </t>
  </si>
  <si>
    <t>Exit Multiple</t>
  </si>
  <si>
    <t xml:space="preserve">at rate </t>
  </si>
  <si>
    <t>at rate</t>
  </si>
  <si>
    <t xml:space="preserve">      &gt;</t>
  </si>
  <si>
    <t>£3.7bn</t>
  </si>
  <si>
    <t xml:space="preserve">Share Price </t>
  </si>
  <si>
    <t xml:space="preserve">Shares Outstanding </t>
  </si>
  <si>
    <t>Control Premium</t>
  </si>
  <si>
    <t xml:space="preserve">  Closing Value May 15th</t>
  </si>
  <si>
    <t>Purchase Value</t>
  </si>
  <si>
    <t>2. Transaction Cost and Acquisition Price Rationale</t>
  </si>
  <si>
    <t>1. TRANSACTION STRUCTURE &amp; DEAL + DEBT ASSUMPTIONS</t>
  </si>
  <si>
    <t>Monthly Visitors</t>
  </si>
  <si>
    <t>RIGHTMOVE PLC. % of MARKET</t>
  </si>
  <si>
    <t>UK PROPERTY MARKET (millions)</t>
  </si>
  <si>
    <t>Properties Listed</t>
  </si>
  <si>
    <t>Current public market trading.  CLEAR DISCOUNT TO PEERS  Opportunity multiple.</t>
  </si>
  <si>
    <t>TRADING COMPARABLES  (Property Portal &amp; Digital Marketplace Peers)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</si>
</sst>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0.0%"/>
    <numFmt numFmtId="165" formatCode="#,##0;\(#,##0\);&quot;--&quot;"/>
    <numFmt numFmtId="166" formatCode="#,##0.0;\(#,##0.0\);&quot;--&quot;"/>
    <numFmt numFmtId="167" formatCode="0\A"/>
    <numFmt numFmtId="168" formatCode="0\E"/>
    <numFmt numFmtId="169" formatCode="#,##0.0;\(#,##0.0\);\-"/>
    <numFmt numFmtId="170" formatCode="0%;\(0%\)"/>
    <numFmt numFmtId="171" formatCode="#,##0.00;[Red]\(#,##0.00\);&quot;OK&quot;"/>
    <numFmt numFmtId="172" formatCode="0.0"/>
    <numFmt numFmtId="173" formatCode="0&quot; days&quot;"/>
    <numFmt numFmtId="174" formatCode="0.000"/>
    <numFmt numFmtId="175" formatCode="0.0\x"/>
    <numFmt numFmtId="176" formatCode="#,##0.0"/>
    <numFmt numFmtId="177" formatCode="0.00\x"/>
    <numFmt numFmtId="178" formatCode="#,##0.000;\(#,##0.000\);\-"/>
    <numFmt numFmtId="179" formatCode="0.0;\(0.0\)"/>
    <numFmt numFmtId="180" formatCode="#,##0;\(#,##0\);\-"/>
    <numFmt numFmtId="181" formatCode="0.0&quot;x&quot;;\(0.0&quot;x&quot;\);&quot;-&quot;"/>
    <numFmt numFmtId="182" formatCode="#,##0.000;\(#,##0.000\);&quot;--&quot;"/>
    <numFmt numFmtId="183" formatCode="#,##0.0000;\(#,##0.0000\);&quot;--&quot;"/>
  </numFmts>
  <fonts count="7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4"/>
      <name val="Cambria"/>
      <family val="1"/>
      <charset val="1"/>
    </font>
    <font>
      <i/>
      <sz val="11"/>
      <name val="Cambria"/>
      <family val="1"/>
      <charset val="1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1F2D3D"/>
      <name val="Arial"/>
      <family val="2"/>
    </font>
    <font>
      <b/>
      <sz val="8"/>
      <color rgb="FFC0392B"/>
      <name val="Arial"/>
      <family val="2"/>
    </font>
    <font>
      <sz val="11"/>
      <color theme="0"/>
      <name val="Arial"/>
      <family val="2"/>
    </font>
    <font>
      <b/>
      <sz val="11"/>
      <color rgb="FF000000"/>
      <name val="Arial"/>
      <family val="2"/>
    </font>
    <font>
      <i/>
      <sz val="10"/>
      <color rgb="FF000000"/>
      <name val="Arial"/>
      <family val="2"/>
    </font>
    <font>
      <sz val="11"/>
      <color theme="1"/>
      <name val="Arial"/>
      <family val="2"/>
    </font>
    <font>
      <sz val="11"/>
      <color theme="3" tint="-0.249977111117893"/>
      <name val="Arial"/>
      <family val="2"/>
    </font>
    <font>
      <b/>
      <sz val="11"/>
      <color theme="1"/>
      <name val="Arial"/>
      <family val="2"/>
    </font>
    <font>
      <b/>
      <sz val="11"/>
      <color theme="3" tint="-0.249977111117893"/>
      <name val="Arial"/>
      <family val="2"/>
    </font>
    <font>
      <i/>
      <sz val="10"/>
      <color theme="0"/>
      <name val="Arial"/>
      <family val="2"/>
    </font>
    <font>
      <i/>
      <sz val="11"/>
      <color rgb="FF000000"/>
      <name val="Calibri"/>
      <family val="2"/>
      <charset val="1"/>
    </font>
    <font>
      <sz val="11"/>
      <color theme="3" tint="-0.49998474074526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2"/>
      <color theme="0"/>
      <name val="Arial"/>
      <family val="2"/>
    </font>
    <font>
      <b/>
      <sz val="11"/>
      <name val="Arial"/>
      <family val="2"/>
    </font>
    <font>
      <sz val="11"/>
      <color theme="4" tint="-0.499984740745262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i/>
      <sz val="10"/>
      <color theme="1"/>
      <name val="Arial"/>
      <family val="2"/>
    </font>
    <font>
      <i/>
      <sz val="9"/>
      <color rgb="FF000000"/>
      <name val="Arial"/>
      <family val="2"/>
    </font>
    <font>
      <b/>
      <sz val="10"/>
      <color theme="1"/>
      <name val="Arial"/>
      <family val="2"/>
    </font>
    <font>
      <sz val="10"/>
      <color rgb="FF1F2D3D"/>
      <name val="Arial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24"/>
      <color theme="4" tint="-0.249977111117893"/>
      <name val="Arial"/>
      <family val="2"/>
    </font>
    <font>
      <i/>
      <sz val="14"/>
      <name val="Arial"/>
      <family val="2"/>
    </font>
    <font>
      <b/>
      <sz val="14"/>
      <color theme="4" tint="-0.249977111117893"/>
      <name val="Arial"/>
      <family val="2"/>
    </font>
    <font>
      <sz val="12"/>
      <color theme="0"/>
      <name val="Arial"/>
      <family val="2"/>
    </font>
    <font>
      <b/>
      <sz val="18"/>
      <color theme="0"/>
      <name val="Arial"/>
      <family val="2"/>
    </font>
    <font>
      <b/>
      <u/>
      <sz val="12"/>
      <color theme="0"/>
      <name val="Arial"/>
      <family val="2"/>
    </font>
    <font>
      <u/>
      <sz val="12"/>
      <color theme="0"/>
      <name val="Arial"/>
      <family val="2"/>
    </font>
    <font>
      <b/>
      <u/>
      <sz val="18"/>
      <color theme="0"/>
      <name val="Arial"/>
      <family val="2"/>
    </font>
    <font>
      <b/>
      <sz val="18"/>
      <color theme="1"/>
      <name val="Arial"/>
      <family val="2"/>
    </font>
    <font>
      <b/>
      <u/>
      <sz val="18"/>
      <color theme="10"/>
      <name val="Arial"/>
      <family val="2"/>
    </font>
    <font>
      <b/>
      <u/>
      <sz val="18"/>
      <color rgb="FF0000FF"/>
      <name val="Arial"/>
      <family val="2"/>
    </font>
    <font>
      <b/>
      <sz val="12"/>
      <color theme="1"/>
      <name val="Arial"/>
      <family val="2"/>
    </font>
    <font>
      <b/>
      <u/>
      <sz val="12"/>
      <color theme="10"/>
      <name val="Arial"/>
      <family val="2"/>
    </font>
    <font>
      <u/>
      <sz val="12"/>
      <color theme="10"/>
      <name val="Arial"/>
      <family val="2"/>
    </font>
    <font>
      <i/>
      <sz val="11"/>
      <color theme="1"/>
      <name val="Arial"/>
      <family val="2"/>
    </font>
    <font>
      <b/>
      <sz val="10"/>
      <color theme="3" tint="-0.499984740745262"/>
      <name val="Arial"/>
      <family val="2"/>
    </font>
    <font>
      <i/>
      <sz val="11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sz val="10"/>
      <color theme="3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i/>
      <sz val="10"/>
      <color theme="1"/>
      <name val="Arial"/>
      <family val="2"/>
    </font>
    <font>
      <i/>
      <sz val="10"/>
      <color rgb="FFFF0000"/>
      <name val="Arial"/>
      <family val="2"/>
    </font>
    <font>
      <i/>
      <sz val="9"/>
      <name val="Arial"/>
      <family val="2"/>
    </font>
    <font>
      <b/>
      <sz val="11"/>
      <color rgb="FF0000FF"/>
      <name val="Arial"/>
      <family val="2"/>
    </font>
    <font>
      <b/>
      <i/>
      <sz val="9"/>
      <name val="Arial"/>
      <family val="2"/>
    </font>
    <font>
      <b/>
      <sz val="12"/>
      <name val="Arial"/>
      <family val="2"/>
    </font>
    <font>
      <sz val="12"/>
      <color theme="3" tint="-0.499984740745262"/>
      <name val="Arial"/>
      <family val="2"/>
    </font>
    <font>
      <sz val="12"/>
      <name val="Arial"/>
      <family val="2"/>
    </font>
    <font>
      <sz val="12"/>
      <color rgb="FF0000FF"/>
      <name val="Arial"/>
      <family val="2"/>
    </font>
    <font>
      <sz val="11"/>
      <name val="Arial"/>
      <family val="2"/>
    </font>
    <font>
      <sz val="8"/>
      <color theme="1"/>
      <name val="Arial Narrow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0.249977111117893"/>
        <bgColor rgb="FFD9D9D9"/>
      </patternFill>
    </fill>
    <fill>
      <patternFill patternType="solid">
        <fgColor theme="9" tint="0.59978026673177287"/>
        <bgColor rgb="FFF2DCDB"/>
      </patternFill>
    </fill>
    <fill>
      <patternFill patternType="solid">
        <fgColor theme="3" tint="-0.499984740745262"/>
        <bgColor rgb="FF17375E"/>
      </patternFill>
    </fill>
    <fill>
      <patternFill patternType="solid">
        <fgColor theme="3" tint="0.59978026673177287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F2DCDB"/>
      </patternFill>
    </fill>
    <fill>
      <patternFill patternType="solid">
        <fgColor theme="0"/>
        <bgColor rgb="FFFFF2CC"/>
      </patternFill>
    </fill>
    <fill>
      <patternFill patternType="solid">
        <fgColor theme="1"/>
        <bgColor rgb="FF10243E"/>
      </patternFill>
    </fill>
    <fill>
      <patternFill patternType="solid">
        <fgColor theme="5" tint="0.39979247413556324"/>
        <bgColor rgb="FFFF99CC"/>
      </patternFill>
    </fill>
    <fill>
      <patternFill patternType="solid">
        <fgColor theme="0" tint="-0.249977111117893"/>
        <bgColor rgb="FF9999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rgb="FFC00000"/>
      </patternFill>
    </fill>
    <fill>
      <patternFill patternType="solid">
        <fgColor theme="4" tint="0.59999389629810485"/>
        <bgColor rgb="FFD9D9D9"/>
      </patternFill>
    </fill>
    <fill>
      <patternFill patternType="solid">
        <fgColor rgb="FF2E5FA3"/>
        <bgColor rgb="FF3366FF"/>
      </patternFill>
    </fill>
    <fill>
      <patternFill patternType="solid">
        <fgColor rgb="FFFFFFFF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rgb="FFFDF3DC"/>
        <bgColor rgb="FFFFFFE0"/>
      </patternFill>
    </fill>
    <fill>
      <patternFill patternType="solid">
        <fgColor theme="3" tint="-0.499984740745262"/>
        <bgColor rgb="FF3366FF"/>
      </patternFill>
    </fill>
    <fill>
      <patternFill patternType="solid">
        <fgColor theme="3" tint="0.39997558519241921"/>
        <bgColor rgb="FF003366"/>
      </patternFill>
    </fill>
    <fill>
      <patternFill patternType="solid">
        <fgColor theme="3" tint="-0.499984740745262"/>
        <bgColor rgb="FF25406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213964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dashed">
        <color theme="0" tint="-0.14999847407452621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dashed">
        <color theme="0" tint="-0.14999847407452621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dashed">
        <color theme="0" tint="-0.14999847407452621"/>
      </right>
      <top/>
      <bottom style="thin">
        <color auto="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dashed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auto="1"/>
      </top>
      <bottom/>
      <diagonal/>
    </border>
    <border>
      <left/>
      <right style="dashed">
        <color theme="0" tint="-0.14999847407452621"/>
      </right>
      <top style="thin">
        <color auto="1"/>
      </top>
      <bottom/>
      <diagonal/>
    </border>
    <border>
      <left/>
      <right style="dashed">
        <color theme="0" tint="-0.1499984740745262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3" tint="-0.24994659260841701"/>
      </top>
      <bottom style="thin">
        <color indexed="64"/>
      </bottom>
      <diagonal/>
    </border>
    <border>
      <left style="medium">
        <color theme="3" tint="-0.24994659260841701"/>
      </left>
      <right style="thin">
        <color indexed="64"/>
      </right>
      <top style="medium">
        <color theme="3" tint="-0.24994659260841701"/>
      </top>
      <bottom style="thin">
        <color indexed="64"/>
      </bottom>
      <diagonal/>
    </border>
    <border>
      <left style="thin">
        <color indexed="64"/>
      </left>
      <right style="medium">
        <color theme="3" tint="-0.24994659260841701"/>
      </right>
      <top style="medium">
        <color theme="3" tint="-0.24994659260841701"/>
      </top>
      <bottom style="thin">
        <color indexed="64"/>
      </bottom>
      <diagonal/>
    </border>
    <border>
      <left style="medium">
        <color theme="3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3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3" tint="-0.24994659260841701"/>
      </left>
      <right style="thin">
        <color indexed="64"/>
      </right>
      <top style="thin">
        <color indexed="64"/>
      </top>
      <bottom style="medium">
        <color theme="3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3" tint="-0.24994659260841701"/>
      </bottom>
      <diagonal/>
    </border>
    <border>
      <left style="thin">
        <color indexed="64"/>
      </left>
      <right style="medium">
        <color theme="3" tint="-0.24994659260841701"/>
      </right>
      <top style="thin">
        <color indexed="64"/>
      </top>
      <bottom style="medium">
        <color theme="3" tint="-0.24994659260841701"/>
      </bottom>
      <diagonal/>
    </border>
    <border>
      <left style="medium">
        <color theme="3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3" tint="-0.24994659260841701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ashed">
        <color rgb="FF000000"/>
      </right>
      <top style="thin">
        <color rgb="FF000000"/>
      </top>
      <bottom/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9" fontId="8" fillId="0" borderId="0" applyFont="0" applyFill="0" applyBorder="0" applyAlignment="0" applyProtection="0"/>
  </cellStyleXfs>
  <cellXfs count="423">
    <xf numFmtId="0" fontId="0" fillId="0" borderId="0" xfId="0"/>
    <xf numFmtId="0" fontId="3" fillId="0" borderId="0" xfId="0" applyFont="1"/>
    <xf numFmtId="0" fontId="4" fillId="0" borderId="0" xfId="0" applyFont="1"/>
    <xf numFmtId="180" fontId="3" fillId="0" borderId="0" xfId="0" applyNumberFormat="1" applyFont="1"/>
    <xf numFmtId="0" fontId="3" fillId="0" borderId="0" xfId="0" applyFont="1" applyAlignment="1">
      <alignment horizontal="left"/>
    </xf>
    <xf numFmtId="175" fontId="3" fillId="0" borderId="0" xfId="0" applyNumberFormat="1" applyFont="1"/>
    <xf numFmtId="0" fontId="5" fillId="0" borderId="0" xfId="0" applyFont="1"/>
    <xf numFmtId="0" fontId="14" fillId="18" borderId="0" xfId="0" applyFont="1" applyFill="1" applyAlignment="1">
      <alignment horizontal="left" vertical="top"/>
    </xf>
    <xf numFmtId="0" fontId="14" fillId="18" borderId="0" xfId="0" applyFont="1" applyFill="1" applyAlignment="1">
      <alignment horizontal="center" vertical="top"/>
    </xf>
    <xf numFmtId="0" fontId="14" fillId="18" borderId="0" xfId="0" applyFont="1" applyFill="1" applyAlignment="1">
      <alignment horizontal="left" vertical="top" wrapText="1"/>
    </xf>
    <xf numFmtId="0" fontId="14" fillId="19" borderId="0" xfId="0" applyFont="1" applyFill="1" applyAlignment="1">
      <alignment horizontal="left" vertical="top"/>
    </xf>
    <xf numFmtId="0" fontId="14" fillId="19" borderId="0" xfId="0" applyFont="1" applyFill="1" applyAlignment="1">
      <alignment horizontal="center" vertical="top"/>
    </xf>
    <xf numFmtId="0" fontId="14" fillId="19" borderId="0" xfId="0" applyFont="1" applyFill="1" applyAlignment="1">
      <alignment horizontal="left" vertical="top" wrapText="1"/>
    </xf>
    <xf numFmtId="0" fontId="15" fillId="20" borderId="0" xfId="0" applyFont="1" applyFill="1" applyAlignment="1">
      <alignment horizontal="left" vertical="top"/>
    </xf>
    <xf numFmtId="0" fontId="15" fillId="20" borderId="0" xfId="0" applyFont="1" applyFill="1" applyAlignment="1">
      <alignment horizontal="center" vertical="top"/>
    </xf>
    <xf numFmtId="0" fontId="15" fillId="20" borderId="0" xfId="0" applyFont="1" applyFill="1" applyAlignment="1">
      <alignment horizontal="left" vertical="top" wrapText="1"/>
    </xf>
    <xf numFmtId="0" fontId="13" fillId="17" borderId="0" xfId="0" applyFont="1" applyFill="1"/>
    <xf numFmtId="0" fontId="16" fillId="0" borderId="0" xfId="0" applyFont="1"/>
    <xf numFmtId="0" fontId="19" fillId="0" borderId="0" xfId="0" applyFont="1"/>
    <xf numFmtId="0" fontId="16" fillId="13" borderId="35" xfId="0" applyFont="1" applyFill="1" applyBorder="1"/>
    <xf numFmtId="0" fontId="10" fillId="0" borderId="35" xfId="0" applyFont="1" applyBorder="1"/>
    <xf numFmtId="164" fontId="9" fillId="0" borderId="35" xfId="0" applyNumberFormat="1" applyFont="1" applyBorder="1" applyAlignment="1">
      <alignment horizontal="left"/>
    </xf>
    <xf numFmtId="0" fontId="9" fillId="0" borderId="35" xfId="0" applyFont="1" applyBorder="1" applyAlignment="1">
      <alignment horizontal="left"/>
    </xf>
    <xf numFmtId="0" fontId="18" fillId="0" borderId="35" xfId="0" applyFont="1" applyBorder="1" applyAlignment="1">
      <alignment horizontal="left"/>
    </xf>
    <xf numFmtId="164" fontId="18" fillId="0" borderId="35" xfId="0" applyNumberFormat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164" fontId="22" fillId="0" borderId="36" xfId="0" applyNumberFormat="1" applyFont="1" applyBorder="1" applyAlignment="1">
      <alignment horizontal="left"/>
    </xf>
    <xf numFmtId="0" fontId="6" fillId="13" borderId="39" xfId="0" applyFont="1" applyFill="1" applyBorder="1"/>
    <xf numFmtId="0" fontId="16" fillId="13" borderId="40" xfId="0" applyFont="1" applyFill="1" applyBorder="1"/>
    <xf numFmtId="0" fontId="9" fillId="0" borderId="39" xfId="0" applyFont="1" applyBorder="1"/>
    <xf numFmtId="0" fontId="10" fillId="0" borderId="40" xfId="0" applyFont="1" applyBorder="1"/>
    <xf numFmtId="164" fontId="9" fillId="0" borderId="40" xfId="0" applyNumberFormat="1" applyFont="1" applyBorder="1" applyAlignment="1">
      <alignment horizontal="left"/>
    </xf>
    <xf numFmtId="0" fontId="9" fillId="0" borderId="40" xfId="0" applyFont="1" applyBorder="1" applyAlignment="1">
      <alignment horizontal="left"/>
    </xf>
    <xf numFmtId="0" fontId="18" fillId="0" borderId="39" xfId="0" applyFont="1" applyBorder="1"/>
    <xf numFmtId="164" fontId="18" fillId="0" borderId="40" xfId="0" applyNumberFormat="1" applyFont="1" applyBorder="1" applyAlignment="1">
      <alignment horizontal="left"/>
    </xf>
    <xf numFmtId="0" fontId="18" fillId="0" borderId="40" xfId="0" applyFont="1" applyBorder="1" applyAlignment="1">
      <alignment horizontal="left"/>
    </xf>
    <xf numFmtId="0" fontId="22" fillId="0" borderId="41" xfId="0" applyFont="1" applyBorder="1"/>
    <xf numFmtId="0" fontId="22" fillId="0" borderId="42" xfId="0" applyFont="1" applyBorder="1" applyAlignment="1">
      <alignment horizontal="left"/>
    </xf>
    <xf numFmtId="0" fontId="22" fillId="0" borderId="43" xfId="0" applyFont="1" applyBorder="1" applyAlignment="1">
      <alignment horizontal="left"/>
    </xf>
    <xf numFmtId="0" fontId="9" fillId="0" borderId="44" xfId="0" applyFont="1" applyBorder="1"/>
    <xf numFmtId="0" fontId="9" fillId="0" borderId="45" xfId="0" applyFont="1" applyBorder="1" applyAlignment="1">
      <alignment horizontal="left"/>
    </xf>
    <xf numFmtId="0" fontId="22" fillId="0" borderId="37" xfId="0" applyFont="1" applyBorder="1"/>
    <xf numFmtId="164" fontId="22" fillId="0" borderId="38" xfId="0" applyNumberFormat="1" applyFont="1" applyBorder="1" applyAlignment="1">
      <alignment horizontal="left"/>
    </xf>
    <xf numFmtId="0" fontId="24" fillId="0" borderId="0" xfId="0" applyFont="1"/>
    <xf numFmtId="0" fontId="21" fillId="2" borderId="1" xfId="0" applyFont="1" applyFill="1" applyBorder="1"/>
    <xf numFmtId="0" fontId="25" fillId="3" borderId="2" xfId="0" applyFont="1" applyFill="1" applyBorder="1"/>
    <xf numFmtId="0" fontId="19" fillId="0" borderId="3" xfId="0" applyFont="1" applyBorder="1"/>
    <xf numFmtId="0" fontId="19" fillId="0" borderId="4" xfId="0" applyFont="1" applyBorder="1"/>
    <xf numFmtId="0" fontId="19" fillId="0" borderId="5" xfId="0" applyFont="1" applyBorder="1"/>
    <xf numFmtId="0" fontId="19" fillId="0" borderId="6" xfId="0" applyFont="1" applyBorder="1"/>
    <xf numFmtId="0" fontId="19" fillId="14" borderId="0" xfId="0" applyFont="1" applyFill="1"/>
    <xf numFmtId="175" fontId="27" fillId="3" borderId="0" xfId="0" applyNumberFormat="1" applyFont="1" applyFill="1"/>
    <xf numFmtId="0" fontId="1" fillId="0" borderId="0" xfId="0" applyFont="1"/>
    <xf numFmtId="165" fontId="6" fillId="0" borderId="0" xfId="0" applyNumberFormat="1" applyFont="1"/>
    <xf numFmtId="164" fontId="28" fillId="0" borderId="0" xfId="0" applyNumberFormat="1" applyFont="1" applyAlignment="1">
      <alignment horizontal="right"/>
    </xf>
    <xf numFmtId="169" fontId="28" fillId="0" borderId="0" xfId="0" applyNumberFormat="1" applyFont="1" applyAlignment="1">
      <alignment horizontal="right"/>
    </xf>
    <xf numFmtId="165" fontId="27" fillId="0" borderId="0" xfId="0" applyNumberFormat="1" applyFont="1"/>
    <xf numFmtId="0" fontId="30" fillId="0" borderId="0" xfId="0" applyFont="1"/>
    <xf numFmtId="0" fontId="31" fillId="3" borderId="0" xfId="0" applyFont="1" applyFill="1" applyAlignment="1">
      <alignment horizontal="left"/>
    </xf>
    <xf numFmtId="1" fontId="21" fillId="0" borderId="7" xfId="0" applyNumberFormat="1" applyFont="1" applyBorder="1"/>
    <xf numFmtId="164" fontId="19" fillId="0" borderId="0" xfId="0" applyNumberFormat="1" applyFont="1"/>
    <xf numFmtId="164" fontId="31" fillId="3" borderId="0" xfId="0" applyNumberFormat="1" applyFont="1" applyFill="1"/>
    <xf numFmtId="0" fontId="32" fillId="0" borderId="0" xfId="0" applyFont="1"/>
    <xf numFmtId="164" fontId="19" fillId="3" borderId="0" xfId="0" applyNumberFormat="1" applyFont="1" applyFill="1"/>
    <xf numFmtId="0" fontId="31" fillId="0" borderId="0" xfId="0" applyFont="1" applyAlignment="1">
      <alignment horizontal="left"/>
    </xf>
    <xf numFmtId="0" fontId="21" fillId="0" borderId="0" xfId="0" applyFont="1"/>
    <xf numFmtId="164" fontId="31" fillId="0" borderId="0" xfId="0" applyNumberFormat="1" applyFont="1"/>
    <xf numFmtId="0" fontId="19" fillId="25" borderId="0" xfId="0" applyFont="1" applyFill="1"/>
    <xf numFmtId="10" fontId="19" fillId="25" borderId="0" xfId="3" applyNumberFormat="1" applyFont="1" applyFill="1"/>
    <xf numFmtId="165" fontId="34" fillId="0" borderId="0" xfId="0" applyNumberFormat="1" applyFont="1"/>
    <xf numFmtId="165" fontId="27" fillId="0" borderId="0" xfId="0" applyNumberFormat="1" applyFont="1" applyAlignment="1">
      <alignment horizontal="center"/>
    </xf>
    <xf numFmtId="169" fontId="27" fillId="0" borderId="0" xfId="0" applyNumberFormat="1" applyFont="1"/>
    <xf numFmtId="165" fontId="17" fillId="0" borderId="0" xfId="0" applyNumberFormat="1" applyFont="1" applyAlignment="1">
      <alignment horizontal="left"/>
    </xf>
    <xf numFmtId="165" fontId="35" fillId="0" borderId="0" xfId="0" applyNumberFormat="1" applyFont="1"/>
    <xf numFmtId="177" fontId="27" fillId="3" borderId="0" xfId="0" applyNumberFormat="1" applyFont="1" applyFill="1"/>
    <xf numFmtId="169" fontId="36" fillId="0" borderId="0" xfId="0" applyNumberFormat="1" applyFont="1"/>
    <xf numFmtId="165" fontId="34" fillId="0" borderId="0" xfId="0" applyNumberFormat="1" applyFont="1" applyAlignment="1">
      <alignment horizontal="left" indent="1"/>
    </xf>
    <xf numFmtId="169" fontId="34" fillId="3" borderId="0" xfId="0" applyNumberFormat="1" applyFont="1" applyFill="1"/>
    <xf numFmtId="169" fontId="34" fillId="0" borderId="0" xfId="0" applyNumberFormat="1" applyFont="1"/>
    <xf numFmtId="178" fontId="34" fillId="3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center"/>
    </xf>
    <xf numFmtId="165" fontId="36" fillId="0" borderId="1" xfId="0" applyNumberFormat="1" applyFont="1" applyBorder="1"/>
    <xf numFmtId="165" fontId="36" fillId="0" borderId="21" xfId="0" applyNumberFormat="1" applyFont="1" applyBorder="1"/>
    <xf numFmtId="169" fontId="36" fillId="0" borderId="2" xfId="0" applyNumberFormat="1" applyFont="1" applyBorder="1"/>
    <xf numFmtId="165" fontId="36" fillId="12" borderId="0" xfId="0" applyNumberFormat="1" applyFont="1" applyFill="1"/>
    <xf numFmtId="164" fontId="36" fillId="12" borderId="0" xfId="0" applyNumberFormat="1" applyFont="1" applyFill="1"/>
    <xf numFmtId="178" fontId="27" fillId="0" borderId="0" xfId="0" applyNumberFormat="1" applyFont="1"/>
    <xf numFmtId="165" fontId="36" fillId="0" borderId="3" xfId="0" applyNumberFormat="1" applyFont="1" applyBorder="1"/>
    <xf numFmtId="165" fontId="36" fillId="0" borderId="0" xfId="0" applyNumberFormat="1" applyFont="1"/>
    <xf numFmtId="169" fontId="36" fillId="0" borderId="4" xfId="0" applyNumberFormat="1" applyFont="1" applyBorder="1"/>
    <xf numFmtId="165" fontId="36" fillId="0" borderId="5" xfId="0" applyNumberFormat="1" applyFont="1" applyBorder="1"/>
    <xf numFmtId="165" fontId="36" fillId="0" borderId="17" xfId="0" applyNumberFormat="1" applyFont="1" applyBorder="1"/>
    <xf numFmtId="169" fontId="36" fillId="0" borderId="6" xfId="0" applyNumberFormat="1" applyFont="1" applyBorder="1"/>
    <xf numFmtId="164" fontId="36" fillId="0" borderId="0" xfId="0" applyNumberFormat="1" applyFont="1"/>
    <xf numFmtId="165" fontId="36" fillId="0" borderId="46" xfId="0" applyNumberFormat="1" applyFont="1" applyBorder="1"/>
    <xf numFmtId="169" fontId="36" fillId="0" borderId="46" xfId="0" applyNumberFormat="1" applyFont="1" applyBorder="1"/>
    <xf numFmtId="0" fontId="37" fillId="0" borderId="0" xfId="0" applyFont="1" applyAlignment="1">
      <alignment horizontal="left" vertical="center" wrapText="1"/>
    </xf>
    <xf numFmtId="176" fontId="6" fillId="0" borderId="0" xfId="0" applyNumberFormat="1" applyFont="1" applyAlignment="1">
      <alignment horizontal="right" vertical="center"/>
    </xf>
    <xf numFmtId="0" fontId="27" fillId="0" borderId="0" xfId="0" applyFont="1"/>
    <xf numFmtId="182" fontId="27" fillId="0" borderId="0" xfId="0" applyNumberFormat="1" applyFont="1"/>
    <xf numFmtId="10" fontId="34" fillId="0" borderId="0" xfId="0" applyNumberFormat="1" applyFont="1"/>
    <xf numFmtId="0" fontId="26" fillId="24" borderId="0" xfId="0" applyFont="1" applyFill="1" applyAlignment="1">
      <alignment horizontal="left" vertical="center" wrapText="1"/>
    </xf>
    <xf numFmtId="176" fontId="38" fillId="24" borderId="0" xfId="0" applyNumberFormat="1" applyFont="1" applyFill="1" applyAlignment="1">
      <alignment horizontal="right" vertical="center"/>
    </xf>
    <xf numFmtId="9" fontId="34" fillId="0" borderId="0" xfId="0" applyNumberFormat="1" applyFont="1"/>
    <xf numFmtId="176" fontId="26" fillId="24" borderId="0" xfId="0" applyNumberFormat="1" applyFont="1" applyFill="1" applyAlignment="1">
      <alignment horizontal="right" vertical="center"/>
    </xf>
    <xf numFmtId="0" fontId="39" fillId="0" borderId="0" xfId="0" applyFont="1" applyAlignment="1">
      <alignment horizontal="left" vertical="center" wrapText="1"/>
    </xf>
    <xf numFmtId="176" fontId="39" fillId="0" borderId="0" xfId="0" applyNumberFormat="1" applyFont="1" applyAlignment="1">
      <alignment horizontal="right" vertical="center"/>
    </xf>
    <xf numFmtId="165" fontId="23" fillId="5" borderId="8" xfId="0" applyNumberFormat="1" applyFont="1" applyFill="1" applyBorder="1"/>
    <xf numFmtId="1" fontId="40" fillId="5" borderId="10" xfId="0" applyNumberFormat="1" applyFont="1" applyFill="1" applyBorder="1"/>
    <xf numFmtId="1" fontId="40" fillId="5" borderId="8" xfId="0" applyNumberFormat="1" applyFont="1" applyFill="1" applyBorder="1"/>
    <xf numFmtId="166" fontId="27" fillId="0" borderId="0" xfId="0" applyNumberFormat="1" applyFont="1"/>
    <xf numFmtId="165" fontId="27" fillId="0" borderId="0" xfId="0" applyNumberFormat="1" applyFont="1" applyAlignment="1">
      <alignment horizontal="left"/>
    </xf>
    <xf numFmtId="165" fontId="27" fillId="0" borderId="0" xfId="0" applyNumberFormat="1" applyFont="1" applyAlignment="1">
      <alignment horizontal="left" indent="1"/>
    </xf>
    <xf numFmtId="169" fontId="6" fillId="0" borderId="0" xfId="0" applyNumberFormat="1" applyFont="1"/>
    <xf numFmtId="166" fontId="34" fillId="0" borderId="0" xfId="0" applyNumberFormat="1" applyFont="1"/>
    <xf numFmtId="165" fontId="6" fillId="0" borderId="0" xfId="0" applyNumberFormat="1" applyFont="1" applyAlignment="1">
      <alignment horizontal="left" indent="1"/>
    </xf>
    <xf numFmtId="166" fontId="41" fillId="8" borderId="0" xfId="0" applyNumberFormat="1" applyFont="1" applyFill="1"/>
    <xf numFmtId="165" fontId="34" fillId="0" borderId="0" xfId="0" applyNumberFormat="1" applyFont="1" applyAlignment="1">
      <alignment horizontal="left" indent="2"/>
    </xf>
    <xf numFmtId="165" fontId="38" fillId="2" borderId="14" xfId="0" applyNumberFormat="1" applyFont="1" applyFill="1" applyBorder="1" applyAlignment="1">
      <alignment horizontal="left"/>
    </xf>
    <xf numFmtId="169" fontId="38" fillId="2" borderId="14" xfId="0" applyNumberFormat="1" applyFont="1" applyFill="1" applyBorder="1"/>
    <xf numFmtId="165" fontId="27" fillId="0" borderId="0" xfId="0" applyNumberFormat="1" applyFont="1" applyAlignment="1">
      <alignment horizontal="left" indent="2"/>
    </xf>
    <xf numFmtId="165" fontId="32" fillId="23" borderId="0" xfId="0" applyNumberFormat="1" applyFont="1" applyFill="1" applyAlignment="1">
      <alignment horizontal="left"/>
    </xf>
    <xf numFmtId="167" fontId="23" fillId="11" borderId="8" xfId="0" applyNumberFormat="1" applyFont="1" applyFill="1" applyBorder="1"/>
    <xf numFmtId="1" fontId="41" fillId="11" borderId="8" xfId="0" applyNumberFormat="1" applyFont="1" applyFill="1" applyBorder="1"/>
    <xf numFmtId="167" fontId="23" fillId="5" borderId="8" xfId="0" applyNumberFormat="1" applyFont="1" applyFill="1" applyBorder="1"/>
    <xf numFmtId="1" fontId="41" fillId="5" borderId="8" xfId="0" applyNumberFormat="1" applyFont="1" applyFill="1" applyBorder="1"/>
    <xf numFmtId="165" fontId="6" fillId="0" borderId="0" xfId="0" applyNumberFormat="1" applyFont="1" applyAlignment="1">
      <alignment horizontal="left"/>
    </xf>
    <xf numFmtId="165" fontId="38" fillId="0" borderId="0" xfId="0" applyNumberFormat="1" applyFont="1" applyAlignment="1">
      <alignment horizontal="left" indent="1"/>
    </xf>
    <xf numFmtId="169" fontId="38" fillId="0" borderId="21" xfId="0" applyNumberFormat="1" applyFont="1" applyBorder="1"/>
    <xf numFmtId="165" fontId="27" fillId="8" borderId="0" xfId="0" applyNumberFormat="1" applyFont="1" applyFill="1" applyAlignment="1">
      <alignment horizontal="left"/>
    </xf>
    <xf numFmtId="164" fontId="27" fillId="8" borderId="0" xfId="0" applyNumberFormat="1" applyFont="1" applyFill="1"/>
    <xf numFmtId="164" fontId="6" fillId="0" borderId="26" xfId="0" applyNumberFormat="1" applyFont="1" applyBorder="1"/>
    <xf numFmtId="169" fontId="27" fillId="8" borderId="0" xfId="0" applyNumberFormat="1" applyFont="1" applyFill="1"/>
    <xf numFmtId="165" fontId="6" fillId="0" borderId="0" xfId="0" applyNumberFormat="1" applyFont="1" applyAlignment="1">
      <alignment horizontal="left" indent="2"/>
    </xf>
    <xf numFmtId="165" fontId="6" fillId="8" borderId="0" xfId="0" applyNumberFormat="1" applyFont="1" applyFill="1"/>
    <xf numFmtId="169" fontId="6" fillId="8" borderId="0" xfId="0" applyNumberFormat="1" applyFont="1" applyFill="1"/>
    <xf numFmtId="165" fontId="30" fillId="0" borderId="0" xfId="0" applyNumberFormat="1" applyFont="1" applyAlignment="1">
      <alignment horizontal="left"/>
    </xf>
    <xf numFmtId="165" fontId="6" fillId="7" borderId="0" xfId="0" applyNumberFormat="1" applyFont="1" applyFill="1" applyAlignment="1">
      <alignment horizontal="left"/>
    </xf>
    <xf numFmtId="164" fontId="6" fillId="7" borderId="26" xfId="0" applyNumberFormat="1" applyFont="1" applyFill="1" applyBorder="1"/>
    <xf numFmtId="169" fontId="6" fillId="7" borderId="0" xfId="0" applyNumberFormat="1" applyFont="1" applyFill="1"/>
    <xf numFmtId="165" fontId="38" fillId="0" borderId="0" xfId="0" applyNumberFormat="1" applyFont="1"/>
    <xf numFmtId="165" fontId="17" fillId="0" borderId="0" xfId="0" applyNumberFormat="1" applyFont="1"/>
    <xf numFmtId="165" fontId="18" fillId="0" borderId="0" xfId="0" applyNumberFormat="1" applyFont="1"/>
    <xf numFmtId="0" fontId="40" fillId="5" borderId="0" xfId="0" applyFont="1" applyFill="1"/>
    <xf numFmtId="0" fontId="41" fillId="5" borderId="0" xfId="0" applyFont="1" applyFill="1"/>
    <xf numFmtId="0" fontId="1" fillId="8" borderId="0" xfId="0" applyFont="1" applyFill="1"/>
    <xf numFmtId="0" fontId="30" fillId="8" borderId="0" xfId="0" applyFont="1" applyFill="1"/>
    <xf numFmtId="175" fontId="1" fillId="8" borderId="0" xfId="0" applyNumberFormat="1" applyFont="1" applyFill="1"/>
    <xf numFmtId="169" fontId="1" fillId="8" borderId="0" xfId="0" applyNumberFormat="1" applyFont="1" applyFill="1"/>
    <xf numFmtId="0" fontId="41" fillId="8" borderId="0" xfId="0" applyFont="1" applyFill="1"/>
    <xf numFmtId="0" fontId="30" fillId="8" borderId="17" xfId="0" applyFont="1" applyFill="1" applyBorder="1"/>
    <xf numFmtId="0" fontId="1" fillId="8" borderId="17" xfId="0" applyFont="1" applyFill="1" applyBorder="1"/>
    <xf numFmtId="15" fontId="41" fillId="8" borderId="0" xfId="0" applyNumberFormat="1" applyFont="1" applyFill="1"/>
    <xf numFmtId="167" fontId="40" fillId="5" borderId="9" xfId="0" applyNumberFormat="1" applyFont="1" applyFill="1" applyBorder="1"/>
    <xf numFmtId="168" fontId="40" fillId="5" borderId="10" xfId="0" applyNumberFormat="1" applyFont="1" applyFill="1" applyBorder="1"/>
    <xf numFmtId="168" fontId="40" fillId="5" borderId="8" xfId="0" applyNumberFormat="1" applyFont="1" applyFill="1" applyBorder="1"/>
    <xf numFmtId="168" fontId="40" fillId="5" borderId="12" xfId="0" applyNumberFormat="1" applyFont="1" applyFill="1" applyBorder="1"/>
    <xf numFmtId="168" fontId="40" fillId="8" borderId="0" xfId="0" applyNumberFormat="1" applyFont="1" applyFill="1"/>
    <xf numFmtId="0" fontId="1" fillId="8" borderId="19" xfId="0" applyFont="1" applyFill="1" applyBorder="1"/>
    <xf numFmtId="0" fontId="26" fillId="8" borderId="19" xfId="0" applyFont="1" applyFill="1" applyBorder="1"/>
    <xf numFmtId="179" fontId="26" fillId="8" borderId="19" xfId="0" applyNumberFormat="1" applyFont="1" applyFill="1" applyBorder="1"/>
    <xf numFmtId="179" fontId="27" fillId="0" borderId="19" xfId="0" applyNumberFormat="1" applyFont="1" applyBorder="1"/>
    <xf numFmtId="179" fontId="41" fillId="8" borderId="0" xfId="0" applyNumberFormat="1" applyFont="1" applyFill="1"/>
    <xf numFmtId="0" fontId="26" fillId="8" borderId="0" xfId="0" applyFont="1" applyFill="1"/>
    <xf numFmtId="179" fontId="27" fillId="0" borderId="0" xfId="0" applyNumberFormat="1" applyFont="1"/>
    <xf numFmtId="0" fontId="42" fillId="8" borderId="0" xfId="0" applyFont="1" applyFill="1"/>
    <xf numFmtId="179" fontId="1" fillId="8" borderId="0" xfId="0" applyNumberFormat="1" applyFont="1" applyFill="1"/>
    <xf numFmtId="169" fontId="26" fillId="8" borderId="0" xfId="0" applyNumberFormat="1" applyFont="1" applyFill="1"/>
    <xf numFmtId="0" fontId="30" fillId="10" borderId="24" xfId="0" applyFont="1" applyFill="1" applyBorder="1"/>
    <xf numFmtId="0" fontId="36" fillId="10" borderId="26" xfId="0" applyFont="1" applyFill="1" applyBorder="1"/>
    <xf numFmtId="164" fontId="36" fillId="10" borderId="25" xfId="0" applyNumberFormat="1" applyFont="1" applyFill="1" applyBorder="1"/>
    <xf numFmtId="177" fontId="19" fillId="0" borderId="0" xfId="0" applyNumberFormat="1" applyFont="1"/>
    <xf numFmtId="0" fontId="27" fillId="8" borderId="0" xfId="0" applyFont="1" applyFill="1"/>
    <xf numFmtId="167" fontId="40" fillId="8" borderId="9" xfId="0" applyNumberFormat="1" applyFont="1" applyFill="1" applyBorder="1"/>
    <xf numFmtId="168" fontId="40" fillId="8" borderId="10" xfId="0" applyNumberFormat="1" applyFont="1" applyFill="1" applyBorder="1"/>
    <xf numFmtId="168" fontId="40" fillId="8" borderId="8" xfId="0" applyNumberFormat="1" applyFont="1" applyFill="1" applyBorder="1"/>
    <xf numFmtId="168" fontId="40" fillId="8" borderId="12" xfId="0" applyNumberFormat="1" applyFont="1" applyFill="1" applyBorder="1"/>
    <xf numFmtId="179" fontId="26" fillId="8" borderId="0" xfId="0" applyNumberFormat="1" applyFont="1" applyFill="1"/>
    <xf numFmtId="169" fontId="42" fillId="8" borderId="0" xfId="0" applyNumberFormat="1" applyFont="1" applyFill="1"/>
    <xf numFmtId="166" fontId="23" fillId="8" borderId="0" xfId="0" applyNumberFormat="1" applyFont="1" applyFill="1"/>
    <xf numFmtId="0" fontId="26" fillId="10" borderId="24" xfId="0" applyFont="1" applyFill="1" applyBorder="1"/>
    <xf numFmtId="169" fontId="36" fillId="10" borderId="25" xfId="0" applyNumberFormat="1" applyFont="1" applyFill="1" applyBorder="1"/>
    <xf numFmtId="166" fontId="36" fillId="0" borderId="0" xfId="0" applyNumberFormat="1" applyFont="1"/>
    <xf numFmtId="9" fontId="27" fillId="8" borderId="0" xfId="0" applyNumberFormat="1" applyFont="1" applyFill="1"/>
    <xf numFmtId="176" fontId="27" fillId="8" borderId="0" xfId="0" applyNumberFormat="1" applyFont="1" applyFill="1"/>
    <xf numFmtId="0" fontId="13" fillId="22" borderId="0" xfId="0" applyFont="1" applyFill="1" applyAlignment="1">
      <alignment horizontal="center" vertical="center"/>
    </xf>
    <xf numFmtId="0" fontId="43" fillId="0" borderId="0" xfId="0" applyFont="1"/>
    <xf numFmtId="0" fontId="44" fillId="9" borderId="0" xfId="0" applyFont="1" applyFill="1"/>
    <xf numFmtId="0" fontId="45" fillId="8" borderId="27" xfId="0" applyFont="1" applyFill="1" applyBorder="1"/>
    <xf numFmtId="0" fontId="44" fillId="8" borderId="28" xfId="0" applyFont="1" applyFill="1" applyBorder="1"/>
    <xf numFmtId="0" fontId="44" fillId="8" borderId="29" xfId="0" applyFont="1" applyFill="1" applyBorder="1"/>
    <xf numFmtId="0" fontId="46" fillId="8" borderId="30" xfId="0" applyFont="1" applyFill="1" applyBorder="1"/>
    <xf numFmtId="0" fontId="44" fillId="8" borderId="0" xfId="0" applyFont="1" applyFill="1"/>
    <xf numFmtId="0" fontId="44" fillId="8" borderId="31" xfId="0" applyFont="1" applyFill="1" applyBorder="1"/>
    <xf numFmtId="0" fontId="44" fillId="8" borderId="30" xfId="0" applyFont="1" applyFill="1" applyBorder="1"/>
    <xf numFmtId="0" fontId="47" fillId="8" borderId="30" xfId="0" applyFont="1" applyFill="1" applyBorder="1"/>
    <xf numFmtId="0" fontId="44" fillId="8" borderId="30" xfId="0" applyFont="1" applyFill="1" applyBorder="1" applyAlignment="1">
      <alignment vertical="top" wrapText="1"/>
    </xf>
    <xf numFmtId="0" fontId="48" fillId="8" borderId="0" xfId="0" applyFont="1" applyFill="1"/>
    <xf numFmtId="176" fontId="44" fillId="8" borderId="0" xfId="0" applyNumberFormat="1" applyFont="1" applyFill="1"/>
    <xf numFmtId="0" fontId="49" fillId="8" borderId="0" xfId="0" applyFont="1" applyFill="1" applyAlignment="1">
      <alignment horizontal="center" vertical="center" wrapText="1"/>
    </xf>
    <xf numFmtId="164" fontId="44" fillId="8" borderId="0" xfId="0" applyNumberFormat="1" applyFont="1" applyFill="1"/>
    <xf numFmtId="0" fontId="49" fillId="8" borderId="0" xfId="0" applyFont="1" applyFill="1" applyAlignment="1">
      <alignment horizontal="center"/>
    </xf>
    <xf numFmtId="0" fontId="50" fillId="8" borderId="0" xfId="0" applyFont="1" applyFill="1"/>
    <xf numFmtId="0" fontId="51" fillId="8" borderId="0" xfId="0" applyFont="1" applyFill="1"/>
    <xf numFmtId="0" fontId="52" fillId="8" borderId="0" xfId="0" applyFont="1" applyFill="1"/>
    <xf numFmtId="0" fontId="53" fillId="8" borderId="0" xfId="0" applyFont="1" applyFill="1"/>
    <xf numFmtId="0" fontId="53" fillId="8" borderId="31" xfId="0" applyFont="1" applyFill="1" applyBorder="1"/>
    <xf numFmtId="0" fontId="54" fillId="8" borderId="0" xfId="0" applyFont="1" applyFill="1"/>
    <xf numFmtId="0" fontId="55" fillId="8" borderId="0" xfId="0" applyFont="1" applyFill="1"/>
    <xf numFmtId="175" fontId="44" fillId="8" borderId="0" xfId="0" applyNumberFormat="1" applyFont="1" applyFill="1"/>
    <xf numFmtId="0" fontId="56" fillId="8" borderId="30" xfId="0" applyFont="1" applyFill="1" applyBorder="1" applyAlignment="1">
      <alignment wrapText="1"/>
    </xf>
    <xf numFmtId="175" fontId="56" fillId="8" borderId="0" xfId="0" applyNumberFormat="1" applyFont="1" applyFill="1" applyAlignment="1">
      <alignment wrapText="1"/>
    </xf>
    <xf numFmtId="0" fontId="57" fillId="8" borderId="0" xfId="0" applyFont="1" applyFill="1"/>
    <xf numFmtId="0" fontId="58" fillId="8" borderId="0" xfId="0" applyFont="1" applyFill="1" applyAlignment="1">
      <alignment wrapText="1"/>
    </xf>
    <xf numFmtId="0" fontId="56" fillId="8" borderId="0" xfId="0" applyFont="1" applyFill="1" applyAlignment="1">
      <alignment wrapText="1"/>
    </xf>
    <xf numFmtId="0" fontId="58" fillId="8" borderId="0" xfId="0" applyFont="1" applyFill="1"/>
    <xf numFmtId="177" fontId="44" fillId="8" borderId="0" xfId="0" applyNumberFormat="1" applyFont="1" applyFill="1"/>
    <xf numFmtId="0" fontId="44" fillId="8" borderId="32" xfId="0" applyFont="1" applyFill="1" applyBorder="1"/>
    <xf numFmtId="0" fontId="44" fillId="8" borderId="33" xfId="0" applyFont="1" applyFill="1" applyBorder="1"/>
    <xf numFmtId="0" fontId="44" fillId="8" borderId="34" xfId="0" applyFont="1" applyFill="1" applyBorder="1"/>
    <xf numFmtId="0" fontId="59" fillId="0" borderId="0" xfId="0" applyFont="1"/>
    <xf numFmtId="0" fontId="41" fillId="0" borderId="0" xfId="0" applyFont="1"/>
    <xf numFmtId="0" fontId="42" fillId="8" borderId="17" xfId="0" applyFont="1" applyFill="1" applyBorder="1"/>
    <xf numFmtId="1" fontId="1" fillId="8" borderId="0" xfId="0" applyNumberFormat="1" applyFont="1" applyFill="1"/>
    <xf numFmtId="1" fontId="41" fillId="8" borderId="0" xfId="0" applyNumberFormat="1" applyFont="1" applyFill="1"/>
    <xf numFmtId="1" fontId="40" fillId="5" borderId="9" xfId="0" applyNumberFormat="1" applyFont="1" applyFill="1" applyBorder="1"/>
    <xf numFmtId="9" fontId="1" fillId="0" borderId="0" xfId="0" applyNumberFormat="1" applyFont="1"/>
    <xf numFmtId="172" fontId="1" fillId="8" borderId="0" xfId="0" applyNumberFormat="1" applyFont="1" applyFill="1"/>
    <xf numFmtId="0" fontId="30" fillId="8" borderId="19" xfId="0" applyFont="1" applyFill="1" applyBorder="1"/>
    <xf numFmtId="1" fontId="26" fillId="8" borderId="19" xfId="0" applyNumberFormat="1" applyFont="1" applyFill="1" applyBorder="1"/>
    <xf numFmtId="169" fontId="27" fillId="0" borderId="19" xfId="0" applyNumberFormat="1" applyFont="1" applyBorder="1"/>
    <xf numFmtId="1" fontId="26" fillId="8" borderId="0" xfId="0" applyNumberFormat="1" applyFont="1" applyFill="1"/>
    <xf numFmtId="174" fontId="42" fillId="8" borderId="0" xfId="0" applyNumberFormat="1" applyFont="1" applyFill="1"/>
    <xf numFmtId="174" fontId="34" fillId="0" borderId="0" xfId="0" applyNumberFormat="1" applyFont="1"/>
    <xf numFmtId="0" fontId="26" fillId="8" borderId="1" xfId="0" applyFont="1" applyFill="1" applyBorder="1"/>
    <xf numFmtId="0" fontId="26" fillId="8" borderId="21" xfId="0" applyFont="1" applyFill="1" applyBorder="1"/>
    <xf numFmtId="164" fontId="60" fillId="8" borderId="2" xfId="0" applyNumberFormat="1" applyFont="1" applyFill="1" applyBorder="1"/>
    <xf numFmtId="0" fontId="26" fillId="3" borderId="3" xfId="0" applyFont="1" applyFill="1" applyBorder="1"/>
    <xf numFmtId="164" fontId="60" fillId="3" borderId="4" xfId="0" applyNumberFormat="1" applyFont="1" applyFill="1" applyBorder="1"/>
    <xf numFmtId="0" fontId="1" fillId="8" borderId="3" xfId="0" applyFont="1" applyFill="1" applyBorder="1"/>
    <xf numFmtId="9" fontId="1" fillId="8" borderId="4" xfId="0" applyNumberFormat="1" applyFont="1" applyFill="1" applyBorder="1"/>
    <xf numFmtId="0" fontId="1" fillId="8" borderId="4" xfId="0" applyFont="1" applyFill="1" applyBorder="1"/>
    <xf numFmtId="0" fontId="26" fillId="8" borderId="3" xfId="0" applyFont="1" applyFill="1" applyBorder="1"/>
    <xf numFmtId="169" fontId="27" fillId="0" borderId="4" xfId="0" applyNumberFormat="1" applyFont="1" applyBorder="1"/>
    <xf numFmtId="166" fontId="6" fillId="0" borderId="0" xfId="0" applyNumberFormat="1" applyFont="1"/>
    <xf numFmtId="4" fontId="1" fillId="8" borderId="0" xfId="0" applyNumberFormat="1" applyFont="1" applyFill="1"/>
    <xf numFmtId="166" fontId="27" fillId="0" borderId="4" xfId="0" applyNumberFormat="1" applyFont="1" applyBorder="1"/>
    <xf numFmtId="0" fontId="30" fillId="8" borderId="3" xfId="0" applyFont="1" applyFill="1" applyBorder="1"/>
    <xf numFmtId="166" fontId="1" fillId="8" borderId="0" xfId="0" applyNumberFormat="1" applyFont="1" applyFill="1"/>
    <xf numFmtId="0" fontId="30" fillId="8" borderId="5" xfId="0" applyFont="1" applyFill="1" applyBorder="1"/>
    <xf numFmtId="0" fontId="26" fillId="8" borderId="17" xfId="0" applyFont="1" applyFill="1" applyBorder="1"/>
    <xf numFmtId="175" fontId="26" fillId="8" borderId="2" xfId="0" applyNumberFormat="1" applyFont="1" applyFill="1" applyBorder="1"/>
    <xf numFmtId="0" fontId="26" fillId="8" borderId="5" xfId="0" applyFont="1" applyFill="1" applyBorder="1"/>
    <xf numFmtId="175" fontId="26" fillId="8" borderId="6" xfId="0" applyNumberFormat="1" applyFont="1" applyFill="1" applyBorder="1"/>
    <xf numFmtId="0" fontId="26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1" fontId="41" fillId="0" borderId="0" xfId="0" applyNumberFormat="1" applyFont="1"/>
    <xf numFmtId="9" fontId="26" fillId="0" borderId="0" xfId="0" applyNumberFormat="1" applyFont="1"/>
    <xf numFmtId="0" fontId="26" fillId="0" borderId="0" xfId="0" applyFont="1" applyAlignment="1">
      <alignment horizontal="center" vertical="center" textRotation="90"/>
    </xf>
    <xf numFmtId="164" fontId="26" fillId="0" borderId="0" xfId="0" applyNumberFormat="1" applyFont="1" applyAlignment="1">
      <alignment horizontal="center"/>
    </xf>
    <xf numFmtId="165" fontId="61" fillId="5" borderId="0" xfId="0" applyNumberFormat="1" applyFont="1" applyFill="1"/>
    <xf numFmtId="167" fontId="27" fillId="0" borderId="0" xfId="0" applyNumberFormat="1" applyFont="1"/>
    <xf numFmtId="167" fontId="27" fillId="0" borderId="11" xfId="0" applyNumberFormat="1" applyFont="1" applyBorder="1"/>
    <xf numFmtId="168" fontId="27" fillId="0" borderId="0" xfId="0" applyNumberFormat="1" applyFont="1"/>
    <xf numFmtId="165" fontId="30" fillId="0" borderId="0" xfId="0" applyNumberFormat="1" applyFont="1"/>
    <xf numFmtId="169" fontId="36" fillId="0" borderId="11" xfId="0" applyNumberFormat="1" applyFont="1" applyBorder="1"/>
    <xf numFmtId="183" fontId="34" fillId="0" borderId="0" xfId="0" applyNumberFormat="1" applyFont="1"/>
    <xf numFmtId="164" fontId="34" fillId="0" borderId="0" xfId="0" applyNumberFormat="1" applyFont="1"/>
    <xf numFmtId="164" fontId="34" fillId="0" borderId="11" xfId="0" applyNumberFormat="1" applyFont="1" applyBorder="1"/>
    <xf numFmtId="166" fontId="27" fillId="0" borderId="11" xfId="0" applyNumberFormat="1" applyFont="1" applyBorder="1"/>
    <xf numFmtId="165" fontId="36" fillId="0" borderId="0" xfId="0" applyNumberFormat="1" applyFont="1" applyAlignment="1">
      <alignment horizontal="left" indent="1"/>
    </xf>
    <xf numFmtId="169" fontId="62" fillId="6" borderId="0" xfId="0" applyNumberFormat="1" applyFont="1" applyFill="1"/>
    <xf numFmtId="169" fontId="62" fillId="0" borderId="11" xfId="0" applyNumberFormat="1" applyFont="1" applyBorder="1"/>
    <xf numFmtId="164" fontId="34" fillId="6" borderId="0" xfId="0" applyNumberFormat="1" applyFont="1" applyFill="1"/>
    <xf numFmtId="9" fontId="34" fillId="6" borderId="0" xfId="0" applyNumberFormat="1" applyFont="1" applyFill="1"/>
    <xf numFmtId="166" fontId="27" fillId="6" borderId="0" xfId="0" applyNumberFormat="1" applyFont="1" applyFill="1"/>
    <xf numFmtId="165" fontId="34" fillId="0" borderId="0" xfId="0" applyNumberFormat="1" applyFont="1" applyAlignment="1">
      <alignment horizontal="left" indent="3"/>
    </xf>
    <xf numFmtId="164" fontId="19" fillId="6" borderId="0" xfId="0" applyNumberFormat="1" applyFont="1" applyFill="1"/>
    <xf numFmtId="164" fontId="27" fillId="0" borderId="11" xfId="0" applyNumberFormat="1" applyFont="1" applyBorder="1"/>
    <xf numFmtId="9" fontId="34" fillId="0" borderId="11" xfId="0" applyNumberFormat="1" applyFont="1" applyBorder="1"/>
    <xf numFmtId="164" fontId="27" fillId="0" borderId="0" xfId="0" applyNumberFormat="1" applyFont="1"/>
    <xf numFmtId="169" fontId="62" fillId="0" borderId="0" xfId="0" applyNumberFormat="1" applyFont="1"/>
    <xf numFmtId="169" fontId="19" fillId="0" borderId="0" xfId="0" applyNumberFormat="1" applyFont="1"/>
    <xf numFmtId="165" fontId="30" fillId="0" borderId="0" xfId="0" applyNumberFormat="1" applyFont="1" applyAlignment="1">
      <alignment horizontal="left" indent="2"/>
    </xf>
    <xf numFmtId="169" fontId="34" fillId="0" borderId="11" xfId="0" applyNumberFormat="1" applyFont="1" applyBorder="1"/>
    <xf numFmtId="165" fontId="30" fillId="0" borderId="0" xfId="0" applyNumberFormat="1" applyFont="1" applyAlignment="1">
      <alignment horizontal="left" indent="3"/>
    </xf>
    <xf numFmtId="169" fontId="27" fillId="0" borderId="11" xfId="0" applyNumberFormat="1" applyFont="1" applyBorder="1"/>
    <xf numFmtId="169" fontId="63" fillId="0" borderId="0" xfId="0" applyNumberFormat="1" applyFont="1"/>
    <xf numFmtId="166" fontId="36" fillId="0" borderId="11" xfId="0" applyNumberFormat="1" applyFont="1" applyBorder="1"/>
    <xf numFmtId="170" fontId="34" fillId="0" borderId="0" xfId="0" applyNumberFormat="1" applyFont="1"/>
    <xf numFmtId="166" fontId="64" fillId="0" borderId="0" xfId="0" applyNumberFormat="1" applyFont="1"/>
    <xf numFmtId="9" fontId="27" fillId="0" borderId="0" xfId="0" applyNumberFormat="1" applyFont="1"/>
    <xf numFmtId="165" fontId="36" fillId="0" borderId="0" xfId="0" applyNumberFormat="1" applyFont="1" applyAlignment="1">
      <alignment horizontal="left"/>
    </xf>
    <xf numFmtId="165" fontId="34" fillId="0" borderId="0" xfId="0" applyNumberFormat="1" applyFont="1" applyAlignment="1">
      <alignment horizontal="left"/>
    </xf>
    <xf numFmtId="10" fontId="27" fillId="0" borderId="0" xfId="0" applyNumberFormat="1" applyFont="1"/>
    <xf numFmtId="1" fontId="40" fillId="5" borderId="12" xfId="0" applyNumberFormat="1" applyFont="1" applyFill="1" applyBorder="1"/>
    <xf numFmtId="1" fontId="40" fillId="5" borderId="13" xfId="0" applyNumberFormat="1" applyFont="1" applyFill="1" applyBorder="1"/>
    <xf numFmtId="167" fontId="27" fillId="16" borderId="13" xfId="0" applyNumberFormat="1" applyFont="1" applyFill="1" applyBorder="1"/>
    <xf numFmtId="165" fontId="30" fillId="2" borderId="0" xfId="0" applyNumberFormat="1" applyFont="1" applyFill="1"/>
    <xf numFmtId="166" fontId="27" fillId="16" borderId="13" xfId="0" applyNumberFormat="1" applyFont="1" applyFill="1" applyBorder="1"/>
    <xf numFmtId="9" fontId="34" fillId="16" borderId="13" xfId="0" applyNumberFormat="1" applyFont="1" applyFill="1" applyBorder="1"/>
    <xf numFmtId="169" fontId="27" fillId="16" borderId="13" xfId="0" applyNumberFormat="1" applyFont="1" applyFill="1" applyBorder="1"/>
    <xf numFmtId="165" fontId="65" fillId="0" borderId="0" xfId="0" applyNumberFormat="1" applyFont="1" applyAlignment="1">
      <alignment horizontal="left" indent="1"/>
    </xf>
    <xf numFmtId="169" fontId="66" fillId="16" borderId="13" xfId="0" applyNumberFormat="1" applyFont="1" applyFill="1" applyBorder="1"/>
    <xf numFmtId="169" fontId="34" fillId="16" borderId="13" xfId="0" applyNumberFormat="1" applyFont="1" applyFill="1" applyBorder="1"/>
    <xf numFmtId="165" fontId="30" fillId="0" borderId="14" xfId="0" applyNumberFormat="1" applyFont="1" applyBorder="1" applyAlignment="1">
      <alignment horizontal="left"/>
    </xf>
    <xf numFmtId="169" fontId="36" fillId="0" borderId="14" xfId="0" applyNumberFormat="1" applyFont="1" applyBorder="1"/>
    <xf numFmtId="169" fontId="36" fillId="16" borderId="15" xfId="0" applyNumberFormat="1" applyFont="1" applyFill="1" applyBorder="1"/>
    <xf numFmtId="166" fontId="67" fillId="0" borderId="0" xfId="0" applyNumberFormat="1" applyFont="1"/>
    <xf numFmtId="169" fontId="36" fillId="16" borderId="13" xfId="0" applyNumberFormat="1" applyFont="1" applyFill="1" applyBorder="1"/>
    <xf numFmtId="165" fontId="68" fillId="0" borderId="0" xfId="0" applyNumberFormat="1" applyFont="1"/>
    <xf numFmtId="166" fontId="68" fillId="0" borderId="0" xfId="0" applyNumberFormat="1" applyFont="1"/>
    <xf numFmtId="165" fontId="68" fillId="0" borderId="0" xfId="0" applyNumberFormat="1" applyFont="1" applyAlignment="1">
      <alignment horizontal="left" indent="2"/>
    </xf>
    <xf numFmtId="171" fontId="68" fillId="0" borderId="0" xfId="0" applyNumberFormat="1" applyFont="1"/>
    <xf numFmtId="165" fontId="69" fillId="0" borderId="0" xfId="0" applyNumberFormat="1" applyFont="1" applyAlignment="1">
      <alignment horizontal="left"/>
    </xf>
    <xf numFmtId="165" fontId="27" fillId="0" borderId="3" xfId="0" applyNumberFormat="1" applyFont="1" applyBorder="1" applyAlignment="1">
      <alignment horizontal="left" indent="2"/>
    </xf>
    <xf numFmtId="165" fontId="34" fillId="0" borderId="3" xfId="0" applyNumberFormat="1" applyFont="1" applyBorder="1" applyAlignment="1">
      <alignment horizontal="left" indent="2"/>
    </xf>
    <xf numFmtId="165" fontId="27" fillId="0" borderId="3" xfId="0" applyNumberFormat="1" applyFont="1" applyBorder="1" applyAlignment="1">
      <alignment horizontal="left"/>
    </xf>
    <xf numFmtId="172" fontId="27" fillId="0" borderId="0" xfId="0" applyNumberFormat="1" applyFont="1"/>
    <xf numFmtId="172" fontId="27" fillId="0" borderId="11" xfId="0" applyNumberFormat="1" applyFont="1" applyBorder="1"/>
    <xf numFmtId="173" fontId="27" fillId="0" borderId="0" xfId="0" applyNumberFormat="1" applyFont="1"/>
    <xf numFmtId="172" fontId="62" fillId="3" borderId="0" xfId="0" applyNumberFormat="1" applyFont="1" applyFill="1"/>
    <xf numFmtId="172" fontId="27" fillId="0" borderId="4" xfId="0" applyNumberFormat="1" applyFont="1" applyBorder="1"/>
    <xf numFmtId="165" fontId="27" fillId="0" borderId="5" xfId="0" applyNumberFormat="1" applyFont="1" applyBorder="1" applyAlignment="1">
      <alignment horizontal="left"/>
    </xf>
    <xf numFmtId="173" fontId="27" fillId="0" borderId="17" xfId="0" applyNumberFormat="1" applyFont="1" applyBorder="1"/>
    <xf numFmtId="173" fontId="27" fillId="0" borderId="18" xfId="0" applyNumberFormat="1" applyFont="1" applyBorder="1"/>
    <xf numFmtId="173" fontId="27" fillId="3" borderId="17" xfId="0" applyNumberFormat="1" applyFont="1" applyFill="1" applyBorder="1"/>
    <xf numFmtId="173" fontId="27" fillId="0" borderId="6" xfId="0" applyNumberFormat="1" applyFont="1" applyBorder="1"/>
    <xf numFmtId="165" fontId="30" fillId="0" borderId="19" xfId="0" applyNumberFormat="1" applyFont="1" applyBorder="1"/>
    <xf numFmtId="169" fontId="34" fillId="0" borderId="19" xfId="0" applyNumberFormat="1" applyFont="1" applyBorder="1"/>
    <xf numFmtId="169" fontId="36" fillId="0" borderId="19" xfId="0" applyNumberFormat="1" applyFont="1" applyBorder="1"/>
    <xf numFmtId="169" fontId="36" fillId="0" borderId="20" xfId="0" applyNumberFormat="1" applyFont="1" applyBorder="1"/>
    <xf numFmtId="169" fontId="27" fillId="0" borderId="21" xfId="0" applyNumberFormat="1" applyFont="1" applyBorder="1"/>
    <xf numFmtId="169" fontId="36" fillId="0" borderId="21" xfId="0" applyNumberFormat="1" applyFont="1" applyBorder="1"/>
    <xf numFmtId="169" fontId="36" fillId="0" borderId="22" xfId="0" applyNumberFormat="1" applyFont="1" applyBorder="1"/>
    <xf numFmtId="165" fontId="30" fillId="2" borderId="14" xfId="0" applyNumberFormat="1" applyFont="1" applyFill="1" applyBorder="1" applyAlignment="1">
      <alignment horizontal="left"/>
    </xf>
    <xf numFmtId="169" fontId="27" fillId="2" borderId="14" xfId="0" applyNumberFormat="1" applyFont="1" applyFill="1" applyBorder="1"/>
    <xf numFmtId="169" fontId="36" fillId="2" borderId="14" xfId="0" applyNumberFormat="1" applyFont="1" applyFill="1" applyBorder="1"/>
    <xf numFmtId="169" fontId="36" fillId="2" borderId="23" xfId="0" applyNumberFormat="1" applyFont="1" applyFill="1" applyBorder="1"/>
    <xf numFmtId="169" fontId="70" fillId="2" borderId="14" xfId="0" applyNumberFormat="1" applyFont="1" applyFill="1" applyBorder="1"/>
    <xf numFmtId="165" fontId="69" fillId="0" borderId="0" xfId="0" applyNumberFormat="1" applyFont="1" applyAlignment="1">
      <alignment horizontal="left" indent="1"/>
    </xf>
    <xf numFmtId="0" fontId="69" fillId="0" borderId="0" xfId="0" applyFont="1"/>
    <xf numFmtId="168" fontId="41" fillId="5" borderId="8" xfId="0" applyNumberFormat="1" applyFont="1" applyFill="1" applyBorder="1"/>
    <xf numFmtId="169" fontId="62" fillId="0" borderId="14" xfId="0" applyNumberFormat="1" applyFont="1" applyBorder="1"/>
    <xf numFmtId="166" fontId="36" fillId="0" borderId="14" xfId="0" applyNumberFormat="1" applyFont="1" applyBorder="1"/>
    <xf numFmtId="165" fontId="27" fillId="7" borderId="24" xfId="0" applyNumberFormat="1" applyFont="1" applyFill="1" applyBorder="1" applyAlignment="1">
      <alignment horizontal="left"/>
    </xf>
    <xf numFmtId="164" fontId="27" fillId="7" borderId="25" xfId="0" applyNumberFormat="1" applyFont="1" applyFill="1" applyBorder="1"/>
    <xf numFmtId="169" fontId="27" fillId="7" borderId="26" xfId="0" applyNumberFormat="1" applyFont="1" applyFill="1" applyBorder="1"/>
    <xf numFmtId="166" fontId="27" fillId="7" borderId="26" xfId="0" applyNumberFormat="1" applyFont="1" applyFill="1" applyBorder="1"/>
    <xf numFmtId="166" fontId="27" fillId="7" borderId="25" xfId="0" applyNumberFormat="1" applyFont="1" applyFill="1" applyBorder="1"/>
    <xf numFmtId="0" fontId="71" fillId="0" borderId="0" xfId="0" applyFont="1"/>
    <xf numFmtId="166" fontId="40" fillId="8" borderId="0" xfId="0" applyNumberFormat="1" applyFont="1" applyFill="1"/>
    <xf numFmtId="0" fontId="41" fillId="14" borderId="0" xfId="0" applyFont="1" applyFill="1"/>
    <xf numFmtId="0" fontId="33" fillId="14" borderId="0" xfId="0" applyFont="1" applyFill="1"/>
    <xf numFmtId="0" fontId="72" fillId="0" borderId="0" xfId="0" applyFont="1"/>
    <xf numFmtId="164" fontId="73" fillId="8" borderId="0" xfId="0" applyNumberFormat="1" applyFont="1" applyFill="1"/>
    <xf numFmtId="0" fontId="74" fillId="0" borderId="0" xfId="0" applyFont="1"/>
    <xf numFmtId="164" fontId="75" fillId="3" borderId="0" xfId="0" applyNumberFormat="1" applyFont="1" applyFill="1"/>
    <xf numFmtId="0" fontId="44" fillId="0" borderId="0" xfId="0" applyFont="1"/>
    <xf numFmtId="164" fontId="44" fillId="0" borderId="0" xfId="0" applyNumberFormat="1" applyFont="1"/>
    <xf numFmtId="0" fontId="27" fillId="15" borderId="0" xfId="0" applyFont="1" applyFill="1"/>
    <xf numFmtId="0" fontId="72" fillId="8" borderId="0" xfId="0" applyFont="1" applyFill="1"/>
    <xf numFmtId="2" fontId="75" fillId="3" borderId="0" xfId="0" applyNumberFormat="1" applyFont="1" applyFill="1"/>
    <xf numFmtId="164" fontId="44" fillId="3" borderId="0" xfId="0" applyNumberFormat="1" applyFont="1" applyFill="1"/>
    <xf numFmtId="0" fontId="29" fillId="13" borderId="0" xfId="0" applyFont="1" applyFill="1"/>
    <xf numFmtId="164" fontId="48" fillId="13" borderId="0" xfId="0" applyNumberFormat="1" applyFont="1" applyFill="1"/>
    <xf numFmtId="9" fontId="15" fillId="20" borderId="0" xfId="3" applyFont="1" applyFill="1" applyAlignment="1">
      <alignment horizontal="center" vertical="top"/>
    </xf>
    <xf numFmtId="9" fontId="13" fillId="17" borderId="0" xfId="3" applyFont="1" applyFill="1" applyAlignment="1">
      <alignment horizontal="center" vertical="center"/>
    </xf>
    <xf numFmtId="176" fontId="9" fillId="0" borderId="0" xfId="0" applyNumberFormat="1" applyFont="1" applyAlignment="1">
      <alignment horizontal="right" vertical="center"/>
    </xf>
    <xf numFmtId="164" fontId="19" fillId="0" borderId="0" xfId="3" applyNumberFormat="1" applyFont="1"/>
    <xf numFmtId="9" fontId="14" fillId="18" borderId="0" xfId="3" applyFont="1" applyFill="1" applyAlignment="1">
      <alignment horizontal="center" vertical="top"/>
    </xf>
    <xf numFmtId="9" fontId="14" fillId="19" borderId="0" xfId="3" applyFont="1" applyFill="1" applyAlignment="1">
      <alignment horizontal="center" vertical="top"/>
    </xf>
    <xf numFmtId="9" fontId="14" fillId="18" borderId="0" xfId="0" applyNumberFormat="1" applyFont="1" applyFill="1" applyAlignment="1">
      <alignment horizontal="center" vertical="top"/>
    </xf>
    <xf numFmtId="9" fontId="14" fillId="19" borderId="0" xfId="0" applyNumberFormat="1" applyFont="1" applyFill="1" applyAlignment="1">
      <alignment horizontal="center" vertical="top"/>
    </xf>
    <xf numFmtId="172" fontId="19" fillId="25" borderId="0" xfId="0" applyNumberFormat="1" applyFont="1" applyFill="1"/>
    <xf numFmtId="175" fontId="19" fillId="3" borderId="0" xfId="0" applyNumberFormat="1" applyFont="1" applyFill="1"/>
    <xf numFmtId="0" fontId="76" fillId="0" borderId="0" xfId="0" applyFont="1"/>
    <xf numFmtId="165" fontId="9" fillId="0" borderId="0" xfId="0" applyNumberFormat="1" applyFont="1"/>
    <xf numFmtId="164" fontId="19" fillId="25" borderId="0" xfId="0" applyNumberFormat="1" applyFont="1" applyFill="1" applyAlignment="1">
      <alignment horizontal="right"/>
    </xf>
    <xf numFmtId="169" fontId="19" fillId="25" borderId="0" xfId="0" applyNumberFormat="1" applyFont="1" applyFill="1" applyAlignment="1">
      <alignment horizontal="right"/>
    </xf>
    <xf numFmtId="165" fontId="19" fillId="0" borderId="0" xfId="0" applyNumberFormat="1" applyFont="1"/>
    <xf numFmtId="164" fontId="62" fillId="0" borderId="0" xfId="0" applyNumberFormat="1" applyFont="1" applyAlignment="1">
      <alignment horizontal="right"/>
    </xf>
    <xf numFmtId="164" fontId="19" fillId="3" borderId="0" xfId="3" applyNumberFormat="1" applyFont="1" applyFill="1"/>
    <xf numFmtId="0" fontId="30" fillId="26" borderId="0" xfId="0" applyFont="1" applyFill="1"/>
    <xf numFmtId="0" fontId="27" fillId="26" borderId="0" xfId="0" applyFont="1" applyFill="1"/>
    <xf numFmtId="166" fontId="27" fillId="26" borderId="0" xfId="0" applyNumberFormat="1" applyFont="1" applyFill="1"/>
    <xf numFmtId="0" fontId="36" fillId="26" borderId="0" xfId="0" applyFont="1" applyFill="1"/>
    <xf numFmtId="166" fontId="36" fillId="26" borderId="0" xfId="0" applyNumberFormat="1" applyFont="1" applyFill="1"/>
    <xf numFmtId="0" fontId="36" fillId="27" borderId="0" xfId="0" applyFont="1" applyFill="1"/>
    <xf numFmtId="175" fontId="36" fillId="27" borderId="0" xfId="0" applyNumberFormat="1" applyFont="1" applyFill="1"/>
    <xf numFmtId="175" fontId="19" fillId="27" borderId="0" xfId="0" applyNumberFormat="1" applyFont="1" applyFill="1"/>
    <xf numFmtId="176" fontId="19" fillId="27" borderId="0" xfId="0" applyNumberFormat="1" applyFont="1" applyFill="1"/>
    <xf numFmtId="2" fontId="19" fillId="27" borderId="0" xfId="0" applyNumberFormat="1" applyFont="1" applyFill="1"/>
    <xf numFmtId="2" fontId="27" fillId="27" borderId="0" xfId="0" applyNumberFormat="1" applyFont="1" applyFill="1"/>
    <xf numFmtId="0" fontId="27" fillId="26" borderId="0" xfId="0" applyFont="1" applyFill="1" applyAlignment="1">
      <alignment horizontal="right"/>
    </xf>
    <xf numFmtId="176" fontId="27" fillId="27" borderId="0" xfId="0" applyNumberFormat="1" applyFont="1" applyFill="1"/>
    <xf numFmtId="181" fontId="14" fillId="18" borderId="0" xfId="0" applyNumberFormat="1" applyFont="1" applyFill="1" applyAlignment="1">
      <alignment horizontal="center" vertical="top"/>
    </xf>
    <xf numFmtId="181" fontId="14" fillId="19" borderId="0" xfId="0" applyNumberFormat="1" applyFont="1" applyFill="1" applyAlignment="1">
      <alignment horizontal="center" vertical="top"/>
    </xf>
    <xf numFmtId="175" fontId="15" fillId="20" borderId="0" xfId="0" applyNumberFormat="1" applyFont="1" applyFill="1" applyAlignment="1">
      <alignment horizontal="center" vertical="top"/>
    </xf>
    <xf numFmtId="175" fontId="77" fillId="0" borderId="0" xfId="0" applyNumberFormat="1" applyFont="1" applyAlignment="1">
      <alignment horizontal="center" vertical="top"/>
    </xf>
    <xf numFmtId="177" fontId="13" fillId="17" borderId="0" xfId="0" applyNumberFormat="1" applyFont="1" applyFill="1" applyAlignment="1">
      <alignment horizontal="center" vertical="center"/>
    </xf>
    <xf numFmtId="165" fontId="27" fillId="0" borderId="0" xfId="0" applyNumberFormat="1" applyFont="1" applyAlignment="1">
      <alignment wrapText="1"/>
    </xf>
    <xf numFmtId="165" fontId="41" fillId="14" borderId="0" xfId="0" applyNumberFormat="1" applyFont="1" applyFill="1" applyAlignment="1">
      <alignment wrapText="1"/>
    </xf>
    <xf numFmtId="165" fontId="41" fillId="14" borderId="0" xfId="0" applyNumberFormat="1" applyFont="1" applyFill="1"/>
    <xf numFmtId="165" fontId="27" fillId="26" borderId="0" xfId="0" applyNumberFormat="1" applyFont="1" applyFill="1"/>
    <xf numFmtId="0" fontId="19" fillId="0" borderId="52" xfId="0" applyFont="1" applyBorder="1"/>
    <xf numFmtId="9" fontId="19" fillId="0" borderId="53" xfId="0" applyNumberFormat="1" applyFont="1" applyBorder="1"/>
    <xf numFmtId="0" fontId="19" fillId="0" borderId="54" xfId="0" applyFont="1" applyBorder="1"/>
    <xf numFmtId="9" fontId="19" fillId="0" borderId="55" xfId="0" applyNumberFormat="1" applyFont="1" applyBorder="1"/>
    <xf numFmtId="0" fontId="19" fillId="0" borderId="50" xfId="0" applyFont="1" applyBorder="1"/>
    <xf numFmtId="0" fontId="19" fillId="0" borderId="51" xfId="0" applyFont="1" applyBorder="1"/>
    <xf numFmtId="0" fontId="32" fillId="28" borderId="47" xfId="0" applyFont="1" applyFill="1" applyBorder="1"/>
    <xf numFmtId="0" fontId="32" fillId="28" borderId="48" xfId="0" applyFont="1" applyFill="1" applyBorder="1"/>
    <xf numFmtId="0" fontId="32" fillId="28" borderId="49" xfId="0" applyFont="1" applyFill="1" applyBorder="1"/>
    <xf numFmtId="0" fontId="20" fillId="0" borderId="37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20" fillId="0" borderId="38" xfId="0" applyFont="1" applyBorder="1" applyAlignment="1">
      <alignment horizontal="center"/>
    </xf>
    <xf numFmtId="0" fontId="29" fillId="4" borderId="0" xfId="0" applyFont="1" applyFill="1" applyAlignment="1">
      <alignment horizontal="left"/>
    </xf>
    <xf numFmtId="0" fontId="12" fillId="21" borderId="0" xfId="0" applyFont="1" applyFill="1" applyAlignment="1">
      <alignment horizontal="left" vertical="center" indent="1"/>
    </xf>
    <xf numFmtId="0" fontId="11" fillId="21" borderId="0" xfId="0" applyFont="1" applyFill="1" applyAlignment="1">
      <alignment horizontal="left" vertical="center" indent="1"/>
    </xf>
    <xf numFmtId="165" fontId="33" fillId="4" borderId="0" xfId="0" applyNumberFormat="1" applyFont="1" applyFill="1" applyAlignment="1">
      <alignment horizontal="center"/>
    </xf>
    <xf numFmtId="165" fontId="32" fillId="4" borderId="16" xfId="0" applyNumberFormat="1" applyFont="1" applyFill="1" applyBorder="1" applyAlignment="1">
      <alignment horizontal="center"/>
    </xf>
    <xf numFmtId="0" fontId="33" fillId="4" borderId="0" xfId="0" applyFont="1" applyFill="1" applyAlignment="1">
      <alignment horizontal="center"/>
    </xf>
  </cellXfs>
  <cellStyles count="4">
    <cellStyle name="Normal" xfId="0" builtinId="0"/>
    <cellStyle name="Normal 2" xfId="1" xr:uid="{00000000-0005-0000-0000-000006000000}"/>
    <cellStyle name="Normal 3" xfId="2" xr:uid="{897340A1-7EAC-F843-9D64-D56215972429}"/>
    <cellStyle name="Per 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2DCDB"/>
      <rgbColor rgb="FFFFFF99"/>
      <rgbColor rgb="FF8EB4E3"/>
      <rgbColor rgb="FFFF99CC"/>
      <rgbColor rgb="FFCC99FF"/>
      <rgbColor rgb="FFFCD5B5"/>
      <rgbColor rgb="FF4F81BD"/>
      <rgbColor rgb="FF33CCCC"/>
      <rgbColor rgb="FF99CC00"/>
      <rgbColor rgb="FFFFCC00"/>
      <rgbColor rgb="FFFF9900"/>
      <rgbColor rgb="FFFF6600"/>
      <rgbColor rgb="FF376092"/>
      <rgbColor rgb="FF969696"/>
      <rgbColor rgb="FF17375E"/>
      <rgbColor rgb="FF339966"/>
      <rgbColor rgb="FF10243E"/>
      <rgbColor rgb="FF333300"/>
      <rgbColor rgb="FF993300"/>
      <rgbColor rgb="FF993366"/>
      <rgbColor rgb="FF1F497D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 w="255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'Football Field'!$C$14:$C$17</c:f>
              <c:numCache>
                <c:formatCode>General</c:formatCode>
                <c:ptCount val="4"/>
              </c:numCache>
            </c:numRef>
          </c:cat>
          <c:val>
            <c:numRef>
              <c:f>'Football Field'!$D$14:$D$17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2AF-5441-847F-209FB37CB538}"/>
            </c:ext>
          </c:extLst>
        </c:ser>
        <c:ser>
          <c:idx val="1"/>
          <c:order val="1"/>
          <c:spPr>
            <a:solidFill>
              <a:srgbClr val="4F81BD"/>
            </a:solidFill>
            <a:ln w="2556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82AF-5441-847F-209FB37CB538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82AF-5441-847F-209FB37CB538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82AF-5441-847F-209FB37CB538}"/>
              </c:ext>
            </c:extLst>
          </c:dPt>
          <c:dPt>
            <c:idx val="3"/>
            <c:invertIfNegative val="0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82AF-5441-847F-209FB37CB53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DE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AF-5441-847F-209FB37CB53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DE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AF-5441-847F-209FB37CB53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DE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AF-5441-847F-209FB37CB53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DE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2AF-5441-847F-209FB37CB5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endParaRPr lang="en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'Football Field'!$C$14:$C$17</c:f>
              <c:numCache>
                <c:formatCode>General</c:formatCode>
                <c:ptCount val="4"/>
              </c:numCache>
            </c:numRef>
          </c:cat>
          <c:val>
            <c:numRef>
              <c:f>'Football Field'!$E$14:$E$17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9-82AF-5441-847F-209FB37C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76191"/>
        <c:axId val="22163391"/>
      </c:barChart>
      <c:catAx>
        <c:axId val="467619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DE"/>
          </a:p>
        </c:txPr>
        <c:crossAx val="22163391"/>
        <c:crosses val="autoZero"/>
        <c:auto val="1"/>
        <c:lblAlgn val="ctr"/>
        <c:lblOffset val="100"/>
        <c:noMultiLvlLbl val="0"/>
      </c:catAx>
      <c:valAx>
        <c:axId val="22163391"/>
        <c:scaling>
          <c:orientation val="minMax"/>
          <c:max val="800"/>
          <c:min val="3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240">
            <a:solidFill>
              <a:srgbClr val="808080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n-DE"/>
          </a:p>
        </c:txPr>
        <c:crossAx val="4676191"/>
        <c:crosses val="autoZero"/>
        <c:crossBetween val="between"/>
        <c:majorUnit val="10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3240">
      <a:solidFill>
        <a:srgbClr val="80808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38160</xdr:colOff>
      <xdr:row>3</xdr:row>
      <xdr:rowOff>42840</xdr:rowOff>
    </xdr:from>
    <xdr:to>
      <xdr:col>18</xdr:col>
      <xdr:colOff>339480</xdr:colOff>
      <xdr:row>17</xdr:row>
      <xdr:rowOff>115560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aki, Aleya" id="{CB3A9060-A10C-3F45-8A45-B608D62119F5}" userId="S::ab5625@ic.ac.uk::34bec81d-aa26-4761-932d-1ff3cbd55b3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6-05-18T11:53:35.91" personId="{CB3A9060-A10C-3F45-8A45-B608D62119F5}" id="{84B914E7-7578-CD49-9673-180709B00A86}">
    <text xml:space="preserve">to add our assumptions!!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28"/>
  <sheetViews>
    <sheetView showGridLines="0" zoomScaleNormal="100" workbookViewId="0">
      <selection activeCell="C13" sqref="C13"/>
    </sheetView>
  </sheetViews>
  <sheetFormatPr baseColWidth="10" defaultColWidth="10.83203125" defaultRowHeight="16" x14ac:dyDescent="0.2"/>
  <cols>
    <col min="1" max="1" width="4.33203125" style="187" customWidth="1"/>
    <col min="2" max="3" width="38" style="187" customWidth="1"/>
    <col min="4" max="4" width="3.1640625" style="187" customWidth="1"/>
    <col min="5" max="5" width="1.1640625" style="187" customWidth="1"/>
    <col min="6" max="6" width="4.33203125" style="187" customWidth="1"/>
    <col min="7" max="8" width="3.1640625" style="187" customWidth="1"/>
    <col min="9" max="16384" width="10.83203125" style="187"/>
  </cols>
  <sheetData>
    <row r="1" spans="2:8" ht="16.5" customHeight="1" x14ac:dyDescent="0.2"/>
    <row r="2" spans="2:8" ht="28.5" customHeight="1" x14ac:dyDescent="0.3">
      <c r="B2" s="188" t="s">
        <v>121</v>
      </c>
      <c r="C2" s="189"/>
      <c r="D2" s="189"/>
      <c r="E2" s="189"/>
      <c r="F2" s="189"/>
      <c r="G2" s="189"/>
      <c r="H2" s="190"/>
    </row>
    <row r="3" spans="2:8" ht="19.5" customHeight="1" x14ac:dyDescent="0.2">
      <c r="B3" s="191" t="s">
        <v>141</v>
      </c>
      <c r="C3" s="192"/>
      <c r="D3" s="192"/>
      <c r="E3" s="192"/>
      <c r="F3" s="192"/>
      <c r="G3" s="192"/>
      <c r="H3" s="193"/>
    </row>
    <row r="4" spans="2:8" ht="15.75" customHeight="1" x14ac:dyDescent="0.2">
      <c r="B4" s="194"/>
      <c r="C4" s="192"/>
      <c r="D4" s="192"/>
      <c r="E4" s="192"/>
      <c r="F4" s="192"/>
      <c r="G4" s="192"/>
      <c r="H4" s="193"/>
    </row>
    <row r="5" spans="2:8" ht="15.75" customHeight="1" x14ac:dyDescent="0.2">
      <c r="B5" s="194"/>
      <c r="C5" s="192"/>
      <c r="D5" s="192"/>
      <c r="E5" s="192"/>
      <c r="F5" s="192"/>
      <c r="G5" s="192"/>
      <c r="H5" s="193"/>
    </row>
    <row r="6" spans="2:8" ht="17.25" customHeight="1" x14ac:dyDescent="0.2">
      <c r="B6" s="195" t="s">
        <v>142</v>
      </c>
      <c r="C6" s="192"/>
      <c r="D6" s="192"/>
      <c r="E6" s="192"/>
      <c r="F6" s="192"/>
      <c r="G6" s="192"/>
      <c r="H6" s="193"/>
    </row>
    <row r="7" spans="2:8" ht="15.75" customHeight="1" x14ac:dyDescent="0.2">
      <c r="B7" s="194" t="s">
        <v>143</v>
      </c>
      <c r="C7" s="192"/>
      <c r="D7" s="192"/>
      <c r="E7" s="192"/>
      <c r="F7" s="192"/>
      <c r="G7" s="192"/>
      <c r="H7" s="193"/>
    </row>
    <row r="8" spans="2:8" ht="15.75" customHeight="1" x14ac:dyDescent="0.2">
      <c r="B8" s="194" t="s">
        <v>144</v>
      </c>
      <c r="C8" s="192"/>
      <c r="D8" s="192"/>
      <c r="E8" s="192"/>
      <c r="F8" s="192"/>
      <c r="G8" s="192"/>
      <c r="H8" s="193"/>
    </row>
    <row r="9" spans="2:8" ht="46.5" customHeight="1" x14ac:dyDescent="0.2">
      <c r="B9" s="196" t="s">
        <v>145</v>
      </c>
      <c r="C9" s="192"/>
      <c r="D9" s="192"/>
      <c r="E9" s="192"/>
      <c r="F9" s="192"/>
      <c r="G9" s="192"/>
      <c r="H9" s="193"/>
    </row>
    <row r="10" spans="2:8" ht="15.75" customHeight="1" x14ac:dyDescent="0.2">
      <c r="B10" s="194"/>
      <c r="C10" s="192"/>
      <c r="D10" s="197"/>
      <c r="E10" s="197"/>
      <c r="F10" s="197"/>
      <c r="G10" s="192"/>
      <c r="H10" s="193"/>
    </row>
    <row r="11" spans="2:8" ht="17.25" customHeight="1" x14ac:dyDescent="0.2">
      <c r="B11" s="195" t="s">
        <v>146</v>
      </c>
      <c r="C11" s="192"/>
      <c r="D11" s="197"/>
      <c r="E11" s="197"/>
      <c r="F11" s="197"/>
      <c r="G11" s="192"/>
      <c r="H11" s="193"/>
    </row>
    <row r="12" spans="2:8" ht="15.75" customHeight="1" x14ac:dyDescent="0.2">
      <c r="B12" s="194" t="s">
        <v>147</v>
      </c>
      <c r="C12" s="198">
        <f>'Income Statement'!G6</f>
        <v>425.12900000000002</v>
      </c>
      <c r="D12" s="197"/>
      <c r="E12" s="197"/>
      <c r="F12" s="197"/>
      <c r="G12" s="192"/>
      <c r="H12" s="193"/>
    </row>
    <row r="13" spans="2:8" ht="70.5" customHeight="1" x14ac:dyDescent="0.2">
      <c r="B13" s="194" t="s">
        <v>148</v>
      </c>
      <c r="C13" s="198">
        <f>'Income Statement'!G25</f>
        <v>296.202</v>
      </c>
      <c r="D13" s="199"/>
      <c r="E13" s="197"/>
      <c r="F13" s="197"/>
      <c r="G13" s="192"/>
      <c r="H13" s="193"/>
    </row>
    <row r="14" spans="2:8" ht="19.5" customHeight="1" x14ac:dyDescent="0.2">
      <c r="B14" s="194" t="s">
        <v>149</v>
      </c>
      <c r="C14" s="200">
        <f>'Income Statement'!G26</f>
        <v>0.69673440296945155</v>
      </c>
      <c r="D14" s="199"/>
      <c r="E14" s="199"/>
      <c r="F14" s="199"/>
      <c r="G14" s="192"/>
      <c r="H14" s="193"/>
    </row>
    <row r="15" spans="2:8" ht="19.5" customHeight="1" x14ac:dyDescent="0.25">
      <c r="B15" s="194" t="s">
        <v>150</v>
      </c>
      <c r="C15" s="198">
        <f>'Income Statement'!G43</f>
        <v>217.084</v>
      </c>
      <c r="D15" s="201"/>
      <c r="E15" s="201"/>
      <c r="F15" s="201"/>
      <c r="G15" s="192"/>
      <c r="H15" s="193"/>
    </row>
    <row r="16" spans="2:8" ht="19.5" customHeight="1" x14ac:dyDescent="0.2">
      <c r="B16" s="194" t="s">
        <v>151</v>
      </c>
      <c r="C16" s="200">
        <f>'Income Statement'!G48</f>
        <v>0.99695140478457267</v>
      </c>
      <c r="D16" s="202"/>
      <c r="E16" s="202"/>
      <c r="F16" s="203"/>
      <c r="G16" s="192"/>
      <c r="H16" s="193"/>
    </row>
    <row r="17" spans="2:8" ht="24" customHeight="1" x14ac:dyDescent="0.25">
      <c r="B17" s="194"/>
      <c r="C17" s="192"/>
      <c r="D17" s="204"/>
      <c r="E17" s="204"/>
      <c r="F17" s="204"/>
      <c r="G17" s="205"/>
      <c r="H17" s="206"/>
    </row>
    <row r="18" spans="2:8" ht="24" customHeight="1" x14ac:dyDescent="0.25">
      <c r="B18" s="195" t="s">
        <v>152</v>
      </c>
      <c r="C18" s="192"/>
      <c r="D18" s="207"/>
      <c r="E18" s="207"/>
      <c r="F18" s="208"/>
      <c r="G18" s="205"/>
      <c r="H18" s="206"/>
    </row>
    <row r="19" spans="2:8" ht="19.5" customHeight="1" x14ac:dyDescent="0.25">
      <c r="B19" s="194" t="s">
        <v>153</v>
      </c>
      <c r="C19" s="209">
        <f>'LBO Modelling'!C6</f>
        <v>12.5</v>
      </c>
      <c r="D19" s="207"/>
      <c r="E19" s="207"/>
      <c r="F19" s="207"/>
      <c r="G19" s="205"/>
      <c r="H19" s="206"/>
    </row>
    <row r="20" spans="2:8" ht="19.5" customHeight="1" x14ac:dyDescent="0.25">
      <c r="B20" s="194" t="s">
        <v>154</v>
      </c>
      <c r="C20" s="198">
        <f>'LBO Modelling'!D11</f>
        <v>3702.5250000000001</v>
      </c>
      <c r="D20" s="207"/>
      <c r="E20" s="207"/>
      <c r="F20" s="207"/>
      <c r="G20" s="205"/>
      <c r="H20" s="206"/>
    </row>
    <row r="21" spans="2:8" ht="19.5" customHeight="1" x14ac:dyDescent="0.25">
      <c r="B21" s="194" t="s">
        <v>155</v>
      </c>
      <c r="C21" s="198">
        <f>'LBO Modelling'!D8</f>
        <v>2369.616</v>
      </c>
      <c r="D21" s="207"/>
      <c r="E21" s="207"/>
      <c r="F21" s="207"/>
      <c r="G21" s="205"/>
      <c r="H21" s="206"/>
    </row>
    <row r="22" spans="2:8" ht="19.5" customHeight="1" x14ac:dyDescent="0.25">
      <c r="B22" s="194" t="s">
        <v>156</v>
      </c>
      <c r="C22" s="198">
        <f ca="1">'LBO Modelling'!D12</f>
        <v>1504.3340717948722</v>
      </c>
      <c r="D22" s="207"/>
      <c r="E22" s="207"/>
      <c r="F22" s="207"/>
      <c r="G22" s="205"/>
      <c r="H22" s="206"/>
    </row>
    <row r="23" spans="2:8" ht="19.5" customHeight="1" x14ac:dyDescent="0.2">
      <c r="B23" s="210" t="s">
        <v>157</v>
      </c>
      <c r="C23" s="211">
        <f>'LBO Modelling'!C7</f>
        <v>8</v>
      </c>
      <c r="D23" s="212"/>
      <c r="E23" s="212"/>
      <c r="F23" s="213"/>
      <c r="G23" s="192"/>
      <c r="H23" s="193"/>
    </row>
    <row r="24" spans="2:8" ht="15.75" customHeight="1" x14ac:dyDescent="0.2">
      <c r="B24" s="210"/>
      <c r="C24" s="214"/>
      <c r="D24" s="212"/>
      <c r="E24" s="212"/>
      <c r="F24" s="213"/>
      <c r="G24" s="192"/>
      <c r="H24" s="193"/>
    </row>
    <row r="25" spans="2:8" ht="17.25" customHeight="1" x14ac:dyDescent="0.2">
      <c r="B25" s="195" t="s">
        <v>158</v>
      </c>
      <c r="C25" s="192"/>
      <c r="D25" s="212"/>
      <c r="E25" s="212"/>
      <c r="F25" s="215"/>
      <c r="G25" s="192"/>
      <c r="H25" s="193"/>
    </row>
    <row r="26" spans="2:8" ht="19.5" customHeight="1" x14ac:dyDescent="0.2">
      <c r="B26" s="194" t="s">
        <v>159</v>
      </c>
      <c r="C26" s="200">
        <f ca="1">'PE Returns analysis'!C22</f>
        <v>0.25036764740943906</v>
      </c>
      <c r="D26" s="212"/>
      <c r="E26" s="212"/>
      <c r="F26" s="215"/>
      <c r="G26" s="192"/>
      <c r="H26" s="193"/>
    </row>
    <row r="27" spans="2:8" ht="19.5" customHeight="1" x14ac:dyDescent="0.2">
      <c r="B27" s="194" t="s">
        <v>160</v>
      </c>
      <c r="C27" s="216">
        <f ca="1">'PE Returns analysis'!C23</f>
        <v>3.0562483440053398</v>
      </c>
      <c r="D27" s="192"/>
      <c r="E27" s="192"/>
      <c r="F27" s="192"/>
      <c r="G27" s="192"/>
      <c r="H27" s="193"/>
    </row>
    <row r="28" spans="2:8" ht="16.5" customHeight="1" x14ac:dyDescent="0.2">
      <c r="B28" s="217"/>
      <c r="C28" s="218"/>
      <c r="D28" s="218"/>
      <c r="E28" s="218"/>
      <c r="F28" s="218"/>
      <c r="G28" s="218"/>
      <c r="H28" s="219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4"/>
  <sheetViews>
    <sheetView showGridLines="0" zoomScaleNormal="100" workbookViewId="0">
      <selection activeCell="M47" sqref="M47"/>
    </sheetView>
  </sheetViews>
  <sheetFormatPr baseColWidth="10" defaultColWidth="8.83203125" defaultRowHeight="13" x14ac:dyDescent="0.15"/>
  <cols>
    <col min="1" max="1" width="32" style="145" customWidth="1"/>
    <col min="2" max="2" width="13" style="145" customWidth="1"/>
    <col min="3" max="14" width="11" style="145" customWidth="1"/>
    <col min="15" max="15" width="3.6640625" style="145" customWidth="1"/>
    <col min="16" max="16" width="6" style="145" customWidth="1"/>
    <col min="17" max="16384" width="8.83203125" style="145"/>
  </cols>
  <sheetData>
    <row r="1" spans="1:13" ht="15" customHeight="1" x14ac:dyDescent="0.2">
      <c r="A1" s="422" t="s">
        <v>121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</row>
    <row r="2" spans="1:13" ht="15" customHeight="1" x14ac:dyDescent="0.15">
      <c r="A2" s="220" t="s">
        <v>122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</row>
    <row r="4" spans="1:13" ht="15" customHeight="1" x14ac:dyDescent="0.15">
      <c r="A4" s="222" t="s">
        <v>19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</row>
    <row r="5" spans="1:13" ht="15" customHeight="1" x14ac:dyDescent="0.15">
      <c r="C5" s="223"/>
      <c r="D5" s="224">
        <v>1</v>
      </c>
      <c r="E5" s="224">
        <v>2</v>
      </c>
      <c r="F5" s="224">
        <v>3</v>
      </c>
      <c r="G5" s="224">
        <v>4</v>
      </c>
      <c r="H5" s="224">
        <v>5</v>
      </c>
      <c r="I5" s="224">
        <v>6</v>
      </c>
      <c r="J5" s="224">
        <v>7</v>
      </c>
      <c r="K5" s="224">
        <v>8</v>
      </c>
      <c r="L5" s="224">
        <v>9</v>
      </c>
      <c r="M5" s="224">
        <v>10</v>
      </c>
    </row>
    <row r="6" spans="1:13" ht="12.75" customHeight="1" x14ac:dyDescent="0.15">
      <c r="C6" s="225">
        <f>'Income Statement'!G4</f>
        <v>2025</v>
      </c>
      <c r="D6" s="108">
        <f>'Income Statement'!H4</f>
        <v>2026</v>
      </c>
      <c r="E6" s="109">
        <f>'Income Statement'!I4</f>
        <v>2027</v>
      </c>
      <c r="F6" s="109">
        <f>'Income Statement'!J4</f>
        <v>2028</v>
      </c>
      <c r="G6" s="109">
        <f>'Income Statement'!K4</f>
        <v>2029</v>
      </c>
      <c r="H6" s="109">
        <f>'Income Statement'!L4</f>
        <v>2030</v>
      </c>
      <c r="I6" s="109">
        <f>'Income Statement'!M4</f>
        <v>2031</v>
      </c>
      <c r="J6" s="109">
        <f>'Income Statement'!N4</f>
        <v>2032</v>
      </c>
      <c r="K6" s="109">
        <f>'Income Statement'!O4</f>
        <v>2033</v>
      </c>
      <c r="L6" s="109">
        <f>'Income Statement'!P4</f>
        <v>2034</v>
      </c>
      <c r="M6" s="109">
        <f>'Income Statement'!Q4</f>
        <v>2035</v>
      </c>
    </row>
    <row r="8" spans="1:13" ht="12.75" customHeight="1" x14ac:dyDescent="0.15">
      <c r="A8" s="145" t="s">
        <v>29</v>
      </c>
      <c r="C8" s="71">
        <f>'Income Statement'!G25</f>
        <v>296.202</v>
      </c>
      <c r="D8" s="71">
        <f>'Income Statement'!H25</f>
        <v>325.89254564999999</v>
      </c>
      <c r="E8" s="71">
        <f>'Income Statement'!I25</f>
        <v>355.78145021100011</v>
      </c>
      <c r="F8" s="71">
        <f>'Income Statement'!J25</f>
        <v>387.05033872290511</v>
      </c>
      <c r="G8" s="71">
        <f>'Income Statement'!K25</f>
        <v>416.08022929737848</v>
      </c>
      <c r="H8" s="71">
        <f>'Income Statement'!L25</f>
        <v>442.58544320626174</v>
      </c>
      <c r="I8" s="71">
        <f>'Income Statement'!M25</f>
        <v>465.15244463760496</v>
      </c>
      <c r="J8" s="71">
        <f>'Income Statement'!N25</f>
        <v>484.33349414474139</v>
      </c>
      <c r="K8" s="71">
        <f>'Income Statement'!O25</f>
        <v>502.14080809148277</v>
      </c>
      <c r="L8" s="71">
        <f>'Income Statement'!P25</f>
        <v>518.92561962348691</v>
      </c>
      <c r="M8" s="71">
        <f>'Income Statement'!Q25</f>
        <v>534.49338821219146</v>
      </c>
    </row>
    <row r="9" spans="1:13" ht="12.75" customHeight="1" x14ac:dyDescent="0.15">
      <c r="C9" s="223"/>
      <c r="D9" s="110"/>
      <c r="E9" s="110"/>
      <c r="F9" s="110"/>
      <c r="G9" s="110"/>
      <c r="H9" s="110"/>
      <c r="I9" s="110"/>
      <c r="J9" s="110"/>
      <c r="K9" s="110"/>
      <c r="L9" s="110"/>
      <c r="M9" s="110"/>
    </row>
    <row r="10" spans="1:13" ht="12.75" customHeight="1" x14ac:dyDescent="0.15">
      <c r="A10" s="145" t="s">
        <v>123</v>
      </c>
      <c r="C10" s="223"/>
      <c r="D10" s="71">
        <f>-'Income Statement'!H28</f>
        <v>4.6225893000000005</v>
      </c>
      <c r="E10" s="71">
        <f>-'Income Statement'!I28</f>
        <v>5.0110063410000008</v>
      </c>
      <c r="F10" s="71">
        <f>-'Income Statement'!J28</f>
        <v>5.4132914506700009</v>
      </c>
      <c r="G10" s="71">
        <f>-'Income Statement'!K28</f>
        <v>5.7949892659802016</v>
      </c>
      <c r="H10" s="71">
        <f>-'Income Statement'!L28</f>
        <v>6.1470200445314127</v>
      </c>
      <c r="I10" s="71">
        <f>-'Income Statement'!M28</f>
        <v>6.4604506199667355</v>
      </c>
      <c r="J10" s="71">
        <f>-'Income Statement'!N28</f>
        <v>6.7268540853436312</v>
      </c>
      <c r="K10" s="71">
        <f>-'Income Statement'!O28</f>
        <v>6.9741778901594831</v>
      </c>
      <c r="L10" s="71">
        <f>-'Income Statement'!P28</f>
        <v>7.2073002725484292</v>
      </c>
      <c r="M10" s="71">
        <f>-'Income Statement'!Q28</f>
        <v>7.4235192807248813</v>
      </c>
    </row>
    <row r="11" spans="1:13" ht="12.75" customHeight="1" x14ac:dyDescent="0.15">
      <c r="C11" s="223"/>
      <c r="D11" s="110"/>
      <c r="E11" s="110"/>
      <c r="F11" s="110"/>
      <c r="G11" s="110"/>
      <c r="H11" s="110"/>
      <c r="I11" s="110"/>
      <c r="J11" s="110"/>
      <c r="K11" s="110"/>
      <c r="L11" s="110"/>
      <c r="M11" s="110"/>
    </row>
    <row r="12" spans="1:13" ht="12.75" customHeight="1" x14ac:dyDescent="0.15">
      <c r="A12" s="145" t="s">
        <v>32</v>
      </c>
      <c r="C12" s="223"/>
      <c r="D12" s="71">
        <f t="shared" ref="D12:M12" si="0">+D8-D10</f>
        <v>321.26995634999997</v>
      </c>
      <c r="E12" s="71">
        <f t="shared" si="0"/>
        <v>350.77044387000012</v>
      </c>
      <c r="F12" s="71">
        <f t="shared" si="0"/>
        <v>381.63704727223512</v>
      </c>
      <c r="G12" s="71">
        <f t="shared" si="0"/>
        <v>410.2852400313983</v>
      </c>
      <c r="H12" s="71">
        <f t="shared" si="0"/>
        <v>436.43842316173033</v>
      </c>
      <c r="I12" s="71">
        <f t="shared" si="0"/>
        <v>458.69199401763819</v>
      </c>
      <c r="J12" s="71">
        <f t="shared" si="0"/>
        <v>477.60664005939776</v>
      </c>
      <c r="K12" s="71">
        <f t="shared" si="0"/>
        <v>495.1666302013233</v>
      </c>
      <c r="L12" s="71">
        <f t="shared" si="0"/>
        <v>511.71831935093849</v>
      </c>
      <c r="M12" s="71">
        <f t="shared" si="0"/>
        <v>527.06986893146654</v>
      </c>
    </row>
    <row r="13" spans="1:13" ht="12.75" customHeight="1" x14ac:dyDescent="0.15">
      <c r="C13" s="223"/>
      <c r="D13" s="110"/>
      <c r="E13" s="110"/>
      <c r="F13" s="110"/>
      <c r="G13" s="110"/>
      <c r="H13" s="110"/>
      <c r="I13" s="110"/>
      <c r="J13" s="110"/>
      <c r="K13" s="110"/>
      <c r="L13" s="110"/>
      <c r="M13" s="110"/>
    </row>
    <row r="14" spans="1:13" ht="12.75" customHeight="1" x14ac:dyDescent="0.15">
      <c r="A14" s="145" t="s">
        <v>124</v>
      </c>
      <c r="C14" s="223"/>
      <c r="D14" s="71">
        <f>-D12*Assumptions!$D$83</f>
        <v>-80.317489087499993</v>
      </c>
      <c r="E14" s="71">
        <f>-E12*Assumptions!$D$83</f>
        <v>-87.69261096750003</v>
      </c>
      <c r="F14" s="71">
        <f>-F12*Assumptions!$D$83</f>
        <v>-95.409261818058781</v>
      </c>
      <c r="G14" s="71">
        <f>-G12*Assumptions!$D$83</f>
        <v>-102.57131000784958</v>
      </c>
      <c r="H14" s="71">
        <f>-H12*Assumptions!$D$83</f>
        <v>-109.10960579043258</v>
      </c>
      <c r="I14" s="71">
        <f>-I12*Assumptions!$D$83</f>
        <v>-114.67299850440955</v>
      </c>
      <c r="J14" s="71">
        <f>-J12*Assumptions!$D$83</f>
        <v>-119.40166001484944</v>
      </c>
      <c r="K14" s="71">
        <f>-K12*Assumptions!$D$83</f>
        <v>-123.79165755033083</v>
      </c>
      <c r="L14" s="71">
        <f>-L12*Assumptions!$D$83</f>
        <v>-127.92957983773462</v>
      </c>
      <c r="M14" s="71">
        <f>-M12*Assumptions!$D$83</f>
        <v>-131.76746723286664</v>
      </c>
    </row>
    <row r="15" spans="1:13" s="52" customFormat="1" ht="12.75" customHeight="1" x14ac:dyDescent="0.15"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</row>
    <row r="16" spans="1:13" ht="12.75" customHeight="1" x14ac:dyDescent="0.15">
      <c r="A16" s="145" t="s">
        <v>125</v>
      </c>
      <c r="C16" s="223"/>
      <c r="D16" s="71">
        <f>+'Income Statement'!H34</f>
        <v>-4.1603303699999996</v>
      </c>
      <c r="E16" s="71">
        <f>+'Income Statement'!I34</f>
        <v>-4.5099057069000006</v>
      </c>
      <c r="F16" s="71">
        <f>+'Income Statement'!J34</f>
        <v>-4.8719623056030006</v>
      </c>
      <c r="G16" s="71">
        <f>+'Income Statement'!K34</f>
        <v>-5.215490339382181</v>
      </c>
      <c r="H16" s="71">
        <f>+'Income Statement'!L34</f>
        <v>-5.5323180400782714</v>
      </c>
      <c r="I16" s="71">
        <f>+'Income Statement'!M34</f>
        <v>-5.814405557970062</v>
      </c>
      <c r="J16" s="71">
        <f>+'Income Statement'!N34</f>
        <v>-6.0541686768092671</v>
      </c>
      <c r="K16" s="71">
        <f>+'Income Statement'!O34</f>
        <v>-6.2767601011435339</v>
      </c>
      <c r="L16" s="71">
        <f>+'Income Statement'!P34</f>
        <v>-6.4865702452935849</v>
      </c>
      <c r="M16" s="71">
        <f>+'Income Statement'!Q34</f>
        <v>-6.6811673526523929</v>
      </c>
    </row>
    <row r="17" spans="1:13" ht="12.75" customHeight="1" x14ac:dyDescent="0.15">
      <c r="D17" s="110"/>
      <c r="E17" s="110"/>
      <c r="F17" s="110"/>
      <c r="G17" s="110"/>
      <c r="H17" s="110"/>
      <c r="I17" s="110"/>
      <c r="J17" s="110"/>
      <c r="K17" s="110"/>
      <c r="L17" s="110"/>
      <c r="M17" s="110"/>
    </row>
    <row r="18" spans="1:13" ht="12.75" customHeight="1" x14ac:dyDescent="0.15">
      <c r="A18" s="145" t="s">
        <v>126</v>
      </c>
      <c r="C18" s="227"/>
      <c r="D18" s="71">
        <f>+'Cash Flow Statement'!H10</f>
        <v>-0.12048428101301667</v>
      </c>
      <c r="E18" s="71">
        <f>+'Cash Flow Statement'!I10</f>
        <v>0.34291345768273018</v>
      </c>
      <c r="F18" s="71">
        <f>+'Cash Flow Statement'!J10</f>
        <v>0.35087154202422255</v>
      </c>
      <c r="G18" s="71">
        <f>+'Cash Flow Statement'!K10</f>
        <v>0.34166586251597053</v>
      </c>
      <c r="H18" s="71">
        <f>+'Cash Flow Statement'!L10</f>
        <v>0.31878644016562063</v>
      </c>
      <c r="I18" s="71">
        <f>+'Cash Flow Statement'!M10</f>
        <v>0.29796728478559942</v>
      </c>
      <c r="J18" s="71">
        <f>+'Cash Flow Statement'!N10</f>
        <v>0.25326028619119967</v>
      </c>
      <c r="K18" s="71">
        <f>+'Cash Flow Statement'!O10</f>
        <v>0.23512193244538793</v>
      </c>
      <c r="L18" s="71">
        <f>+'Cash Flow Statement'!P10</f>
        <v>0.22162114594820537</v>
      </c>
      <c r="M18" s="71">
        <f>+'Cash Flow Statement'!Q10</f>
        <v>0.20555171012237849</v>
      </c>
    </row>
    <row r="20" spans="1:13" ht="13.5" customHeight="1" x14ac:dyDescent="0.15">
      <c r="A20" s="228" t="s">
        <v>127</v>
      </c>
      <c r="B20" s="159"/>
      <c r="C20" s="229"/>
      <c r="D20" s="230">
        <f t="shared" ref="D20:M20" si="1">+D12+D14+D16+D18+D10</f>
        <v>241.29424191148695</v>
      </c>
      <c r="E20" s="230">
        <f t="shared" si="1"/>
        <v>263.92184699428282</v>
      </c>
      <c r="F20" s="230">
        <f t="shared" si="1"/>
        <v>287.11998614126753</v>
      </c>
      <c r="G20" s="230">
        <f t="shared" si="1"/>
        <v>308.63509481266271</v>
      </c>
      <c r="H20" s="230">
        <f t="shared" si="1"/>
        <v>328.26230581591653</v>
      </c>
      <c r="I20" s="230">
        <f t="shared" si="1"/>
        <v>344.96300786001098</v>
      </c>
      <c r="J20" s="230">
        <f t="shared" si="1"/>
        <v>359.13092573927395</v>
      </c>
      <c r="K20" s="230">
        <f t="shared" si="1"/>
        <v>372.30751237245386</v>
      </c>
      <c r="L20" s="230">
        <f t="shared" si="1"/>
        <v>384.7310906864069</v>
      </c>
      <c r="M20" s="230">
        <f t="shared" si="1"/>
        <v>396.25030533679478</v>
      </c>
    </row>
    <row r="21" spans="1:13" ht="4.5" customHeight="1" x14ac:dyDescent="0.15">
      <c r="A21" s="163"/>
      <c r="B21" s="163"/>
      <c r="C21" s="231"/>
      <c r="D21" s="110"/>
      <c r="E21" s="110"/>
      <c r="F21" s="110"/>
      <c r="G21" s="110"/>
      <c r="H21" s="110"/>
      <c r="I21" s="110"/>
      <c r="J21" s="110"/>
      <c r="K21" s="110"/>
      <c r="L21" s="110"/>
      <c r="M21" s="110"/>
    </row>
    <row r="22" spans="1:13" ht="12.75" customHeight="1" x14ac:dyDescent="0.15">
      <c r="A22" s="165" t="s">
        <v>128</v>
      </c>
      <c r="B22" s="165"/>
      <c r="C22" s="232"/>
      <c r="D22" s="233">
        <f t="shared" ref="D22:M22" si="2">1/((1+$C$26)^D5)</f>
        <v>0.92249220494086825</v>
      </c>
      <c r="E22" s="233">
        <f t="shared" si="2"/>
        <v>0.85099186817666495</v>
      </c>
      <c r="F22" s="233">
        <f t="shared" si="2"/>
        <v>0.78503336486104036</v>
      </c>
      <c r="G22" s="233">
        <f t="shared" si="2"/>
        <v>0.72418715970281022</v>
      </c>
      <c r="H22" s="233">
        <f t="shared" si="2"/>
        <v>0.66805700974411009</v>
      </c>
      <c r="I22" s="233">
        <f t="shared" si="2"/>
        <v>0.61627738394504716</v>
      </c>
      <c r="J22" s="233">
        <f t="shared" si="2"/>
        <v>0.56851108277065665</v>
      </c>
      <c r="K22" s="233">
        <f t="shared" si="2"/>
        <v>0.52444704227842354</v>
      </c>
      <c r="L22" s="233">
        <f t="shared" si="2"/>
        <v>0.48379830840613963</v>
      </c>
      <c r="M22" s="233">
        <f t="shared" si="2"/>
        <v>0.44630016826824198</v>
      </c>
    </row>
    <row r="23" spans="1:13" ht="4.5" customHeight="1" x14ac:dyDescent="0.15"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2.75" customHeight="1" x14ac:dyDescent="0.15">
      <c r="A24" s="145" t="s">
        <v>129</v>
      </c>
      <c r="D24" s="71">
        <f t="shared" ref="D24:M24" si="3">+D20*D22</f>
        <v>222.59205726046287</v>
      </c>
      <c r="E24" s="71">
        <f t="shared" si="3"/>
        <v>224.59534562630066</v>
      </c>
      <c r="F24" s="71">
        <f t="shared" si="3"/>
        <v>225.39876883933454</v>
      </c>
      <c r="G24" s="71">
        <f t="shared" si="3"/>
        <v>223.50957269698975</v>
      </c>
      <c r="H24" s="71">
        <f t="shared" si="3"/>
        <v>219.2979344350878</v>
      </c>
      <c r="I24" s="71">
        <f t="shared" si="3"/>
        <v>212.59290004178231</v>
      </c>
      <c r="J24" s="71">
        <f t="shared" si="3"/>
        <v>204.16991144846293</v>
      </c>
      <c r="K24" s="71">
        <f t="shared" si="3"/>
        <v>195.25557368177101</v>
      </c>
      <c r="L24" s="71">
        <f t="shared" si="3"/>
        <v>186.13225086533276</v>
      </c>
      <c r="M24" s="71">
        <f t="shared" si="3"/>
        <v>176.84657794815377</v>
      </c>
    </row>
    <row r="26" spans="1:13" ht="12.75" customHeight="1" x14ac:dyDescent="0.15">
      <c r="A26" s="234" t="s">
        <v>130</v>
      </c>
      <c r="B26" s="235"/>
      <c r="C26" s="236">
        <f>'WACC Calculation'!C19</f>
        <v>8.4019999999999984E-2</v>
      </c>
    </row>
    <row r="27" spans="1:13" ht="12.75" customHeight="1" x14ac:dyDescent="0.15">
      <c r="A27" s="237" t="s">
        <v>131</v>
      </c>
      <c r="B27" s="163"/>
      <c r="C27" s="238">
        <v>2.5000000000000001E-2</v>
      </c>
    </row>
    <row r="28" spans="1:13" ht="12.75" customHeight="1" x14ac:dyDescent="0.15">
      <c r="A28" s="239"/>
      <c r="C28" s="240"/>
    </row>
    <row r="29" spans="1:13" ht="12.75" customHeight="1" x14ac:dyDescent="0.15">
      <c r="A29" s="239"/>
      <c r="C29" s="241"/>
    </row>
    <row r="30" spans="1:13" ht="12.75" customHeight="1" x14ac:dyDescent="0.15">
      <c r="A30" s="242" t="s">
        <v>132</v>
      </c>
      <c r="B30" s="163"/>
      <c r="C30" s="243">
        <f>(M20*(1+C27))/(C26-C27)</f>
        <v>6881.6767700815781</v>
      </c>
    </row>
    <row r="31" spans="1:13" ht="12.75" customHeight="1" x14ac:dyDescent="0.15">
      <c r="A31" s="239" t="s">
        <v>133</v>
      </c>
      <c r="C31" s="243">
        <f>C30*M22</f>
        <v>3071.2935004550604</v>
      </c>
      <c r="E31" s="244"/>
      <c r="F31" s="244"/>
      <c r="G31" s="244"/>
      <c r="H31" s="244"/>
      <c r="I31" s="244"/>
      <c r="J31" s="245"/>
    </row>
    <row r="32" spans="1:13" ht="12.75" customHeight="1" x14ac:dyDescent="0.15">
      <c r="A32" s="239"/>
      <c r="C32" s="246"/>
      <c r="F32" s="245"/>
      <c r="G32" s="245"/>
      <c r="H32" s="245"/>
      <c r="I32" s="245"/>
      <c r="J32" s="245"/>
    </row>
    <row r="33" spans="1:24" ht="12.75" customHeight="1" x14ac:dyDescent="0.15">
      <c r="A33" s="239" t="s">
        <v>134</v>
      </c>
      <c r="C33" s="243">
        <f>SUM(D24:M24)</f>
        <v>2090.3908928436781</v>
      </c>
      <c r="F33" s="245"/>
      <c r="G33" s="245"/>
      <c r="H33" s="245"/>
      <c r="I33" s="245"/>
      <c r="J33" s="245"/>
    </row>
    <row r="34" spans="1:24" ht="12.75" customHeight="1" x14ac:dyDescent="0.15">
      <c r="A34" s="239"/>
      <c r="C34" s="246"/>
      <c r="F34" s="245"/>
      <c r="G34" s="245"/>
      <c r="H34" s="245"/>
      <c r="I34" s="245"/>
      <c r="J34" s="245"/>
    </row>
    <row r="35" spans="1:24" ht="13.5" customHeight="1" x14ac:dyDescent="0.15">
      <c r="A35" s="247" t="s">
        <v>135</v>
      </c>
      <c r="B35" s="163"/>
      <c r="C35" s="89">
        <f>+C31+C33</f>
        <v>5161.6843932987385</v>
      </c>
      <c r="D35" s="248"/>
    </row>
    <row r="36" spans="1:24" ht="12.75" customHeight="1" x14ac:dyDescent="0.15">
      <c r="A36" s="239" t="s">
        <v>136</v>
      </c>
      <c r="C36" s="243">
        <f>'Balance Sheet'!G63</f>
        <v>-35.722000000000001</v>
      </c>
    </row>
    <row r="37" spans="1:24" ht="12.75" customHeight="1" x14ac:dyDescent="0.15">
      <c r="A37" s="239" t="s">
        <v>137</v>
      </c>
      <c r="C37" s="243">
        <v>0</v>
      </c>
    </row>
    <row r="38" spans="1:24" ht="13.5" customHeight="1" x14ac:dyDescent="0.15">
      <c r="A38" s="249" t="s">
        <v>138</v>
      </c>
      <c r="B38" s="250"/>
      <c r="C38" s="92">
        <f>+C35-C36-C37</f>
        <v>5197.4063932987383</v>
      </c>
    </row>
    <row r="39" spans="1:24" ht="12.75" customHeight="1" x14ac:dyDescent="0.15">
      <c r="A39" s="52"/>
      <c r="B39" s="52"/>
      <c r="C39" s="110"/>
    </row>
    <row r="40" spans="1:24" ht="12.75" customHeight="1" x14ac:dyDescent="0.15">
      <c r="A40" s="234" t="s">
        <v>139</v>
      </c>
      <c r="B40" s="235"/>
      <c r="C40" s="251">
        <f>+C35/D8</f>
        <v>15.838608345593309</v>
      </c>
    </row>
    <row r="41" spans="1:24" ht="12.75" customHeight="1" x14ac:dyDescent="0.15">
      <c r="A41" s="252" t="s">
        <v>140</v>
      </c>
      <c r="B41" s="250"/>
      <c r="C41" s="253">
        <f>+C35/D12</f>
        <v>16.066501990853645</v>
      </c>
    </row>
    <row r="42" spans="1:24" ht="12.75" customHeight="1" x14ac:dyDescent="0.15">
      <c r="N42" s="52"/>
      <c r="O42" s="52"/>
      <c r="P42" s="254"/>
      <c r="Q42" s="52"/>
      <c r="R42" s="52"/>
      <c r="S42" s="52"/>
      <c r="T42" s="52"/>
      <c r="U42" s="52"/>
      <c r="V42" s="52"/>
      <c r="W42" s="52"/>
      <c r="X42" s="52"/>
    </row>
    <row r="43" spans="1:24" ht="15" customHeight="1" x14ac:dyDescent="0.15">
      <c r="N43" s="52"/>
      <c r="O43" s="52"/>
      <c r="P43" s="52"/>
      <c r="Q43" s="255"/>
      <c r="R43" s="52"/>
      <c r="S43" s="52"/>
      <c r="T43" s="52"/>
      <c r="U43" s="52"/>
      <c r="V43" s="52"/>
      <c r="W43" s="52"/>
      <c r="X43" s="52"/>
    </row>
    <row r="44" spans="1:24" ht="12.75" customHeight="1" x14ac:dyDescent="0.15">
      <c r="N44" s="52"/>
      <c r="O44" s="52"/>
      <c r="P44" s="52"/>
      <c r="Q44" s="254"/>
      <c r="R44" s="52"/>
      <c r="S44" s="52"/>
      <c r="T44" s="52"/>
      <c r="U44" s="52"/>
      <c r="V44" s="52"/>
      <c r="W44" s="52"/>
      <c r="X44" s="52"/>
    </row>
    <row r="45" spans="1:24" ht="12.75" customHeight="1" x14ac:dyDescent="0.15">
      <c r="N45" s="52"/>
      <c r="O45" s="52"/>
      <c r="P45" s="256"/>
      <c r="Q45" s="257"/>
      <c r="R45" s="257"/>
      <c r="S45" s="257"/>
      <c r="T45" s="257"/>
      <c r="U45" s="257"/>
      <c r="V45" s="52"/>
      <c r="W45" s="52"/>
      <c r="X45" s="52"/>
    </row>
    <row r="46" spans="1:24" ht="12.75" customHeight="1" x14ac:dyDescent="0.15">
      <c r="N46" s="52"/>
      <c r="O46" s="258"/>
      <c r="P46" s="259"/>
      <c r="Q46" s="110"/>
      <c r="R46" s="110"/>
      <c r="S46" s="110"/>
      <c r="T46" s="110"/>
      <c r="U46" s="110"/>
      <c r="V46" s="52"/>
      <c r="W46" s="52"/>
      <c r="X46" s="52"/>
    </row>
    <row r="47" spans="1:24" ht="12.75" customHeight="1" x14ac:dyDescent="0.15">
      <c r="N47" s="52"/>
      <c r="O47" s="52"/>
      <c r="P47" s="259"/>
      <c r="Q47" s="110"/>
      <c r="R47" s="110"/>
      <c r="S47" s="110"/>
      <c r="T47" s="110"/>
      <c r="U47" s="110"/>
      <c r="V47" s="52"/>
      <c r="W47" s="52"/>
      <c r="X47" s="52"/>
    </row>
    <row r="48" spans="1:24" ht="12.75" customHeight="1" x14ac:dyDescent="0.15">
      <c r="N48" s="52"/>
      <c r="O48" s="52"/>
      <c r="P48" s="259"/>
      <c r="Q48" s="110"/>
      <c r="R48" s="110"/>
      <c r="S48" s="182"/>
      <c r="T48" s="110"/>
      <c r="U48" s="110"/>
      <c r="V48" s="52"/>
      <c r="W48" s="52"/>
      <c r="X48" s="52"/>
    </row>
    <row r="49" spans="14:24" ht="12.75" customHeight="1" x14ac:dyDescent="0.15">
      <c r="N49" s="52"/>
      <c r="O49" s="52"/>
      <c r="P49" s="259"/>
      <c r="Q49" s="110"/>
      <c r="R49" s="110"/>
      <c r="S49" s="110"/>
      <c r="T49" s="110"/>
      <c r="U49" s="110"/>
      <c r="V49" s="52"/>
      <c r="W49" s="52"/>
      <c r="X49" s="52"/>
    </row>
    <row r="50" spans="14:24" ht="12.75" customHeight="1" x14ac:dyDescent="0.15">
      <c r="N50" s="52"/>
      <c r="O50" s="52"/>
      <c r="P50" s="259"/>
      <c r="Q50" s="110"/>
      <c r="R50" s="110"/>
      <c r="S50" s="110"/>
      <c r="T50" s="110"/>
      <c r="U50" s="110"/>
      <c r="V50" s="52"/>
      <c r="W50" s="52"/>
      <c r="X50" s="52"/>
    </row>
    <row r="51" spans="14:24" ht="12.75" customHeight="1" x14ac:dyDescent="0.15"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spans="14:24" ht="12.75" customHeight="1" x14ac:dyDescent="0.15"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spans="14:24" ht="12.75" customHeight="1" x14ac:dyDescent="0.15"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spans="14:24" ht="12.75" customHeight="1" x14ac:dyDescent="0.15"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</sheetData>
  <mergeCells count="1">
    <mergeCell ref="A1:M1"/>
  </mergeCells>
  <pageMargins left="0.70833333333333304" right="0.70833333333333304" top="0.74791666666666701" bottom="0.74791666666666701" header="0.511811023622047" footer="0.511811023622047"/>
  <pageSetup paperSize="9" scale="67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92"/>
  <sheetViews>
    <sheetView showGridLines="0" zoomScaleNormal="100" workbookViewId="0">
      <selection activeCell="C2" sqref="C2"/>
    </sheetView>
  </sheetViews>
  <sheetFormatPr baseColWidth="10" defaultColWidth="8.83203125" defaultRowHeight="14" x14ac:dyDescent="0.15"/>
  <cols>
    <col min="1" max="1" width="2.6640625" style="18" customWidth="1"/>
    <col min="2" max="2" width="35.1640625" style="18" customWidth="1"/>
    <col min="3" max="10" width="8.83203125" style="18"/>
    <col min="11" max="11" width="10.1640625" style="18" bestFit="1" customWidth="1"/>
    <col min="12" max="16384" width="8.83203125" style="18"/>
  </cols>
  <sheetData>
    <row r="2" spans="2:18" ht="15" customHeight="1" x14ac:dyDescent="0.15">
      <c r="B2" s="44" t="s">
        <v>2</v>
      </c>
      <c r="C2" s="45">
        <v>1</v>
      </c>
    </row>
    <row r="3" spans="2:18" ht="15" customHeight="1" x14ac:dyDescent="0.15">
      <c r="B3" s="46" t="s">
        <v>3</v>
      </c>
      <c r="C3" s="47">
        <v>1</v>
      </c>
    </row>
    <row r="4" spans="2:18" ht="15" customHeight="1" x14ac:dyDescent="0.15">
      <c r="B4" s="46" t="s">
        <v>4</v>
      </c>
      <c r="C4" s="47">
        <v>2</v>
      </c>
    </row>
    <row r="5" spans="2:18" ht="15" customHeight="1" x14ac:dyDescent="0.15">
      <c r="B5" s="48" t="s">
        <v>5</v>
      </c>
      <c r="C5" s="49">
        <v>3</v>
      </c>
    </row>
    <row r="8" spans="2:18" x14ac:dyDescent="0.15">
      <c r="B8" s="418" t="s">
        <v>352</v>
      </c>
      <c r="C8" s="418"/>
      <c r="D8" s="418"/>
      <c r="E8" s="418"/>
      <c r="F8" s="418"/>
      <c r="G8" s="418"/>
      <c r="H8" s="418"/>
      <c r="I8" s="418"/>
      <c r="J8" s="418"/>
      <c r="K8" s="418"/>
      <c r="L8" s="50"/>
      <c r="M8" s="50"/>
      <c r="N8" s="50"/>
      <c r="O8" s="50"/>
      <c r="P8" s="50"/>
      <c r="Q8" s="50"/>
      <c r="R8" s="50"/>
    </row>
    <row r="9" spans="2:18" x14ac:dyDescent="0.15">
      <c r="B9" s="57" t="s">
        <v>340</v>
      </c>
      <c r="C9" s="375">
        <v>12.5</v>
      </c>
    </row>
    <row r="10" spans="2:18" x14ac:dyDescent="0.15">
      <c r="B10" s="57" t="s">
        <v>341</v>
      </c>
      <c r="C10" s="375">
        <v>12.5</v>
      </c>
    </row>
    <row r="11" spans="2:18" x14ac:dyDescent="0.15">
      <c r="B11" s="57" t="s">
        <v>170</v>
      </c>
      <c r="C11" s="375">
        <v>8</v>
      </c>
    </row>
    <row r="12" spans="2:18" x14ac:dyDescent="0.15">
      <c r="B12" s="376" t="s">
        <v>176</v>
      </c>
      <c r="C12" s="375">
        <v>5.5</v>
      </c>
      <c r="D12" s="18" t="s">
        <v>344</v>
      </c>
      <c r="E12" s="18" t="s">
        <v>342</v>
      </c>
      <c r="F12" s="68">
        <v>6.5000000000000002E-2</v>
      </c>
    </row>
    <row r="13" spans="2:18" x14ac:dyDescent="0.15">
      <c r="B13" s="376" t="s">
        <v>180</v>
      </c>
      <c r="C13" s="375">
        <f>C11-C12</f>
        <v>2.5</v>
      </c>
      <c r="D13" s="18" t="s">
        <v>344</v>
      </c>
      <c r="E13" s="18" t="s">
        <v>343</v>
      </c>
      <c r="F13" s="68">
        <v>9.5000000000000001E-2</v>
      </c>
    </row>
    <row r="14" spans="2:18" x14ac:dyDescent="0.15">
      <c r="B14" s="377" t="s">
        <v>165</v>
      </c>
      <c r="C14" s="378">
        <v>0.05</v>
      </c>
    </row>
    <row r="15" spans="2:18" x14ac:dyDescent="0.15">
      <c r="B15" s="377" t="s">
        <v>168</v>
      </c>
      <c r="C15" s="378">
        <v>0.5</v>
      </c>
    </row>
    <row r="16" spans="2:18" x14ac:dyDescent="0.15">
      <c r="B16" s="377" t="s">
        <v>171</v>
      </c>
      <c r="C16" s="379">
        <v>200</v>
      </c>
    </row>
    <row r="17" spans="2:18" x14ac:dyDescent="0.15">
      <c r="B17" s="377" t="s">
        <v>174</v>
      </c>
      <c r="C17" s="378">
        <v>7.4999999999999997E-2</v>
      </c>
    </row>
    <row r="18" spans="2:18" x14ac:dyDescent="0.15">
      <c r="B18" s="377" t="s">
        <v>178</v>
      </c>
      <c r="C18" s="378">
        <v>5.0000000000000001E-3</v>
      </c>
    </row>
    <row r="19" spans="2:18" x14ac:dyDescent="0.15">
      <c r="B19" s="377"/>
      <c r="C19" s="380"/>
      <c r="D19" s="381"/>
    </row>
    <row r="20" spans="2:18" x14ac:dyDescent="0.15">
      <c r="B20" s="419" t="s">
        <v>351</v>
      </c>
      <c r="C20" s="419"/>
      <c r="D20" s="419"/>
      <c r="E20" s="419"/>
      <c r="F20" s="419"/>
      <c r="G20" s="419"/>
      <c r="H20" s="419"/>
      <c r="I20" s="419"/>
      <c r="J20" s="419"/>
      <c r="K20" s="419"/>
      <c r="L20" s="50"/>
      <c r="M20" s="50"/>
      <c r="N20" s="50"/>
      <c r="O20" s="50"/>
      <c r="P20" s="50"/>
      <c r="Q20" s="50"/>
      <c r="R20" s="50"/>
    </row>
    <row r="21" spans="2:18" x14ac:dyDescent="0.15">
      <c r="B21" s="376" t="s">
        <v>331</v>
      </c>
      <c r="C21" s="382">
        <v>2.5000000000000001E-2</v>
      </c>
    </row>
    <row r="22" spans="2:18" x14ac:dyDescent="0.15">
      <c r="B22" s="376" t="s">
        <v>332</v>
      </c>
      <c r="C22" s="382">
        <v>0.02</v>
      </c>
    </row>
    <row r="23" spans="2:18" x14ac:dyDescent="0.15">
      <c r="B23" s="376" t="s">
        <v>333</v>
      </c>
      <c r="C23" s="374">
        <v>20</v>
      </c>
    </row>
    <row r="25" spans="2:18" x14ac:dyDescent="0.15">
      <c r="B25" s="18" t="s">
        <v>346</v>
      </c>
      <c r="C25" s="67">
        <v>402</v>
      </c>
      <c r="D25" s="220" t="s">
        <v>349</v>
      </c>
    </row>
    <row r="26" spans="2:18" ht="15" x14ac:dyDescent="0.2">
      <c r="B26" s="18" t="s">
        <v>347</v>
      </c>
      <c r="C26" s="67">
        <v>752.1</v>
      </c>
      <c r="D26" s="43"/>
    </row>
    <row r="27" spans="2:18" x14ac:dyDescent="0.15">
      <c r="B27" s="18" t="s">
        <v>348</v>
      </c>
      <c r="C27" s="369">
        <f>C29/C28-1</f>
        <v>0.22460592926869438</v>
      </c>
    </row>
    <row r="28" spans="2:18" x14ac:dyDescent="0.15">
      <c r="B28" s="18" t="s">
        <v>337</v>
      </c>
      <c r="C28" s="368">
        <f>C25*C26/100</f>
        <v>3023.442</v>
      </c>
    </row>
    <row r="29" spans="2:18" x14ac:dyDescent="0.15">
      <c r="B29" s="18" t="s">
        <v>350</v>
      </c>
      <c r="C29" s="368">
        <f>'LBO Modelling'!G17</f>
        <v>3702.5250000000001</v>
      </c>
    </row>
    <row r="31" spans="2:18" ht="18" customHeight="1" x14ac:dyDescent="0.2">
      <c r="B31" s="417" t="s">
        <v>334</v>
      </c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</row>
    <row r="33" spans="2:18" ht="15" customHeight="1" x14ac:dyDescent="0.15">
      <c r="B33" s="57" t="s">
        <v>6</v>
      </c>
    </row>
    <row r="34" spans="2:18" ht="15" customHeight="1" x14ac:dyDescent="0.15">
      <c r="B34" s="58">
        <f>$C$2</f>
        <v>1</v>
      </c>
      <c r="D34" s="59">
        <v>2021</v>
      </c>
      <c r="E34" s="59">
        <f t="shared" ref="E34:R34" si="0">+D34+1</f>
        <v>2022</v>
      </c>
      <c r="F34" s="59">
        <f t="shared" si="0"/>
        <v>2023</v>
      </c>
      <c r="G34" s="59">
        <f t="shared" si="0"/>
        <v>2024</v>
      </c>
      <c r="H34" s="59">
        <f t="shared" si="0"/>
        <v>2025</v>
      </c>
      <c r="I34" s="59">
        <f t="shared" si="0"/>
        <v>2026</v>
      </c>
      <c r="J34" s="59">
        <f t="shared" si="0"/>
        <v>2027</v>
      </c>
      <c r="K34" s="59">
        <f t="shared" si="0"/>
        <v>2028</v>
      </c>
      <c r="L34" s="59">
        <f t="shared" si="0"/>
        <v>2029</v>
      </c>
      <c r="M34" s="59">
        <f t="shared" si="0"/>
        <v>2030</v>
      </c>
      <c r="N34" s="59">
        <f t="shared" si="0"/>
        <v>2031</v>
      </c>
      <c r="O34" s="59">
        <f t="shared" si="0"/>
        <v>2032</v>
      </c>
      <c r="P34" s="59">
        <f t="shared" si="0"/>
        <v>2033</v>
      </c>
      <c r="Q34" s="59">
        <f t="shared" si="0"/>
        <v>2034</v>
      </c>
      <c r="R34" s="59">
        <f t="shared" si="0"/>
        <v>2035</v>
      </c>
    </row>
    <row r="35" spans="2:18" ht="15" customHeight="1" x14ac:dyDescent="0.15">
      <c r="B35" s="18" t="s">
        <v>7</v>
      </c>
      <c r="D35" s="60"/>
      <c r="E35" s="60"/>
      <c r="F35" s="60"/>
      <c r="G35" s="60"/>
      <c r="H35" s="60"/>
      <c r="I35" s="60">
        <f t="shared" ref="I35:R35" si="1">CHOOSE($B34,I36,I37,I38)</f>
        <v>7.0000000000000007E-2</v>
      </c>
      <c r="J35" s="60">
        <f t="shared" si="1"/>
        <v>7.0000000000000007E-2</v>
      </c>
      <c r="K35" s="60">
        <f t="shared" si="1"/>
        <v>7.0000000000000007E-2</v>
      </c>
      <c r="L35" s="60">
        <f t="shared" si="1"/>
        <v>0.06</v>
      </c>
      <c r="M35" s="60">
        <f t="shared" si="1"/>
        <v>0.05</v>
      </c>
      <c r="N35" s="60">
        <f t="shared" si="1"/>
        <v>0.04</v>
      </c>
      <c r="O35" s="60">
        <f t="shared" si="1"/>
        <v>0.03</v>
      </c>
      <c r="P35" s="60">
        <f t="shared" si="1"/>
        <v>0.03</v>
      </c>
      <c r="Q35" s="60">
        <f t="shared" si="1"/>
        <v>0.03</v>
      </c>
      <c r="R35" s="60">
        <f t="shared" si="1"/>
        <v>0.03</v>
      </c>
    </row>
    <row r="36" spans="2:18" ht="15" customHeight="1" x14ac:dyDescent="0.15">
      <c r="B36" s="18" t="s">
        <v>8</v>
      </c>
      <c r="D36" s="61"/>
      <c r="E36" s="61"/>
      <c r="F36" s="61"/>
      <c r="G36" s="61"/>
      <c r="H36" s="61"/>
      <c r="I36" s="61">
        <v>7.0000000000000007E-2</v>
      </c>
      <c r="J36" s="61">
        <v>7.0000000000000007E-2</v>
      </c>
      <c r="K36" s="61">
        <v>7.0000000000000007E-2</v>
      </c>
      <c r="L36" s="61">
        <v>0.06</v>
      </c>
      <c r="M36" s="61">
        <v>0.05</v>
      </c>
      <c r="N36" s="61">
        <v>0.04</v>
      </c>
      <c r="O36" s="61">
        <v>0.03</v>
      </c>
      <c r="P36" s="61">
        <v>0.03</v>
      </c>
      <c r="Q36" s="61">
        <v>0.03</v>
      </c>
      <c r="R36" s="61">
        <v>0.03</v>
      </c>
    </row>
    <row r="37" spans="2:18" ht="15" customHeight="1" x14ac:dyDescent="0.15">
      <c r="B37" s="18" t="s">
        <v>9</v>
      </c>
      <c r="D37" s="61"/>
      <c r="E37" s="61"/>
      <c r="F37" s="61"/>
      <c r="G37" s="61"/>
      <c r="H37" s="61"/>
      <c r="I37" s="61">
        <v>0.04</v>
      </c>
      <c r="J37" s="61">
        <v>0.04</v>
      </c>
      <c r="K37" s="61">
        <v>0.04</v>
      </c>
      <c r="L37" s="61">
        <v>0.03</v>
      </c>
      <c r="M37" s="61">
        <v>0.02</v>
      </c>
      <c r="N37" s="61">
        <v>0.01</v>
      </c>
      <c r="O37" s="61">
        <v>0</v>
      </c>
      <c r="P37" s="61">
        <v>0</v>
      </c>
      <c r="Q37" s="61">
        <v>0</v>
      </c>
      <c r="R37" s="61">
        <v>0</v>
      </c>
    </row>
    <row r="38" spans="2:18" ht="15" customHeight="1" x14ac:dyDescent="0.15">
      <c r="B38" s="18" t="s">
        <v>10</v>
      </c>
      <c r="D38" s="61"/>
      <c r="E38" s="61"/>
      <c r="F38" s="61"/>
      <c r="G38" s="61"/>
      <c r="H38" s="61"/>
      <c r="I38" s="61">
        <v>0.09</v>
      </c>
      <c r="J38" s="61">
        <v>0.09</v>
      </c>
      <c r="K38" s="61">
        <v>0.09</v>
      </c>
      <c r="L38" s="61">
        <v>0.08</v>
      </c>
      <c r="M38" s="61">
        <v>7.0000000000000007E-2</v>
      </c>
      <c r="N38" s="61">
        <v>0.06</v>
      </c>
      <c r="O38" s="61">
        <v>0.05</v>
      </c>
      <c r="P38" s="61">
        <v>0.05</v>
      </c>
      <c r="Q38" s="61">
        <v>0.05</v>
      </c>
      <c r="R38" s="61">
        <v>0.05</v>
      </c>
    </row>
    <row r="41" spans="2:18" ht="15" customHeight="1" x14ac:dyDescent="0.15">
      <c r="B41" s="57" t="s">
        <v>11</v>
      </c>
    </row>
    <row r="42" spans="2:18" ht="15" customHeight="1" x14ac:dyDescent="0.15">
      <c r="B42" s="58">
        <f>$C$2</f>
        <v>1</v>
      </c>
      <c r="D42" s="59">
        <v>2021</v>
      </c>
      <c r="E42" s="59">
        <f t="shared" ref="E42:R42" si="2">+D42+1</f>
        <v>2022</v>
      </c>
      <c r="F42" s="59">
        <f t="shared" si="2"/>
        <v>2023</v>
      </c>
      <c r="G42" s="59">
        <f t="shared" si="2"/>
        <v>2024</v>
      </c>
      <c r="H42" s="59">
        <f t="shared" si="2"/>
        <v>2025</v>
      </c>
      <c r="I42" s="59">
        <f t="shared" si="2"/>
        <v>2026</v>
      </c>
      <c r="J42" s="59">
        <f t="shared" si="2"/>
        <v>2027</v>
      </c>
      <c r="K42" s="59">
        <f t="shared" si="2"/>
        <v>2028</v>
      </c>
      <c r="L42" s="59">
        <f t="shared" si="2"/>
        <v>2029</v>
      </c>
      <c r="M42" s="59">
        <f t="shared" si="2"/>
        <v>2030</v>
      </c>
      <c r="N42" s="59">
        <f t="shared" si="2"/>
        <v>2031</v>
      </c>
      <c r="O42" s="59">
        <f t="shared" si="2"/>
        <v>2032</v>
      </c>
      <c r="P42" s="59">
        <f t="shared" si="2"/>
        <v>2033</v>
      </c>
      <c r="Q42" s="59">
        <f t="shared" si="2"/>
        <v>2034</v>
      </c>
      <c r="R42" s="59">
        <f t="shared" si="2"/>
        <v>2035</v>
      </c>
    </row>
    <row r="43" spans="2:18" ht="15" customHeight="1" x14ac:dyDescent="0.15">
      <c r="B43" s="18" t="s">
        <v>7</v>
      </c>
      <c r="D43" s="60"/>
      <c r="E43" s="60"/>
      <c r="F43" s="60"/>
      <c r="G43" s="60"/>
      <c r="H43" s="60"/>
      <c r="I43" s="60">
        <f t="shared" ref="I43:R43" si="3">CHOOSE($B42,I44,I45,I46)</f>
        <v>0.12</v>
      </c>
      <c r="J43" s="60">
        <f t="shared" si="3"/>
        <v>0.11</v>
      </c>
      <c r="K43" s="60">
        <f t="shared" si="3"/>
        <v>0.1</v>
      </c>
      <c r="L43" s="60">
        <f t="shared" si="3"/>
        <v>0.09</v>
      </c>
      <c r="M43" s="60">
        <f t="shared" si="3"/>
        <v>0.08</v>
      </c>
      <c r="N43" s="60">
        <f t="shared" si="3"/>
        <v>7.0000000000000007E-2</v>
      </c>
      <c r="O43" s="60">
        <f t="shared" si="3"/>
        <v>0.06</v>
      </c>
      <c r="P43" s="60">
        <f t="shared" si="3"/>
        <v>0.05</v>
      </c>
      <c r="Q43" s="60">
        <f t="shared" si="3"/>
        <v>0.04</v>
      </c>
      <c r="R43" s="60">
        <f t="shared" si="3"/>
        <v>0.03</v>
      </c>
    </row>
    <row r="44" spans="2:18" ht="15" customHeight="1" x14ac:dyDescent="0.15">
      <c r="B44" s="18" t="s">
        <v>8</v>
      </c>
      <c r="D44" s="61"/>
      <c r="E44" s="61"/>
      <c r="F44" s="61"/>
      <c r="G44" s="61"/>
      <c r="H44" s="61"/>
      <c r="I44" s="61">
        <v>0.12</v>
      </c>
      <c r="J44" s="61">
        <v>0.11</v>
      </c>
      <c r="K44" s="61">
        <v>0.1</v>
      </c>
      <c r="L44" s="61">
        <v>0.09</v>
      </c>
      <c r="M44" s="61">
        <v>0.08</v>
      </c>
      <c r="N44" s="61">
        <v>7.0000000000000007E-2</v>
      </c>
      <c r="O44" s="61">
        <v>0.06</v>
      </c>
      <c r="P44" s="61">
        <v>0.05</v>
      </c>
      <c r="Q44" s="61">
        <v>0.04</v>
      </c>
      <c r="R44" s="61">
        <v>0.03</v>
      </c>
    </row>
    <row r="45" spans="2:18" ht="15" customHeight="1" x14ac:dyDescent="0.15">
      <c r="B45" s="18" t="s">
        <v>9</v>
      </c>
      <c r="D45" s="61"/>
      <c r="E45" s="61"/>
      <c r="F45" s="61"/>
      <c r="G45" s="61"/>
      <c r="H45" s="61"/>
      <c r="I45" s="61">
        <v>0.08</v>
      </c>
      <c r="J45" s="61">
        <v>7.0000000000000007E-2</v>
      </c>
      <c r="K45" s="61">
        <v>0.06</v>
      </c>
      <c r="L45" s="61">
        <v>0.05</v>
      </c>
      <c r="M45" s="61">
        <v>0.04</v>
      </c>
      <c r="N45" s="61">
        <v>0.03</v>
      </c>
      <c r="O45" s="61">
        <v>0.02</v>
      </c>
      <c r="P45" s="61">
        <v>0.01</v>
      </c>
      <c r="Q45" s="61">
        <v>0</v>
      </c>
      <c r="R45" s="61">
        <v>0</v>
      </c>
    </row>
    <row r="46" spans="2:18" ht="15" customHeight="1" x14ac:dyDescent="0.15">
      <c r="B46" s="18" t="s">
        <v>10</v>
      </c>
      <c r="D46" s="61"/>
      <c r="E46" s="61"/>
      <c r="F46" s="61"/>
      <c r="G46" s="61"/>
      <c r="H46" s="61"/>
      <c r="I46" s="61">
        <v>0.15</v>
      </c>
      <c r="J46" s="61">
        <v>0.14000000000000001</v>
      </c>
      <c r="K46" s="61">
        <v>0.13</v>
      </c>
      <c r="L46" s="61">
        <v>0.12</v>
      </c>
      <c r="M46" s="61">
        <v>0.11</v>
      </c>
      <c r="N46" s="61">
        <v>0.1</v>
      </c>
      <c r="O46" s="61">
        <v>0.09</v>
      </c>
      <c r="P46" s="61">
        <v>0.08</v>
      </c>
      <c r="Q46" s="61">
        <v>7.0000000000000007E-2</v>
      </c>
      <c r="R46" s="61">
        <v>0.06</v>
      </c>
    </row>
    <row r="49" spans="2:18" ht="15" customHeight="1" x14ac:dyDescent="0.15">
      <c r="B49" s="57" t="s">
        <v>12</v>
      </c>
    </row>
    <row r="50" spans="2:18" ht="15" customHeight="1" x14ac:dyDescent="0.15">
      <c r="B50" s="58">
        <f>$C$2</f>
        <v>1</v>
      </c>
      <c r="D50" s="59">
        <v>2021</v>
      </c>
      <c r="E50" s="59">
        <f t="shared" ref="E50:R50" si="4">+D50+1</f>
        <v>2022</v>
      </c>
      <c r="F50" s="59">
        <f t="shared" si="4"/>
        <v>2023</v>
      </c>
      <c r="G50" s="59">
        <f t="shared" si="4"/>
        <v>2024</v>
      </c>
      <c r="H50" s="59">
        <f t="shared" si="4"/>
        <v>2025</v>
      </c>
      <c r="I50" s="59">
        <f t="shared" si="4"/>
        <v>2026</v>
      </c>
      <c r="J50" s="59">
        <f t="shared" si="4"/>
        <v>2027</v>
      </c>
      <c r="K50" s="59">
        <f t="shared" si="4"/>
        <v>2028</v>
      </c>
      <c r="L50" s="59">
        <f t="shared" si="4"/>
        <v>2029</v>
      </c>
      <c r="M50" s="59">
        <f t="shared" si="4"/>
        <v>2030</v>
      </c>
      <c r="N50" s="59">
        <f t="shared" si="4"/>
        <v>2031</v>
      </c>
      <c r="O50" s="59">
        <f t="shared" si="4"/>
        <v>2032</v>
      </c>
      <c r="P50" s="59">
        <f t="shared" si="4"/>
        <v>2033</v>
      </c>
      <c r="Q50" s="59">
        <f t="shared" si="4"/>
        <v>2034</v>
      </c>
      <c r="R50" s="59">
        <f t="shared" si="4"/>
        <v>2035</v>
      </c>
    </row>
    <row r="51" spans="2:18" ht="15" customHeight="1" x14ac:dyDescent="0.15">
      <c r="B51" s="18" t="s">
        <v>7</v>
      </c>
      <c r="D51" s="60"/>
      <c r="E51" s="60"/>
      <c r="F51" s="60"/>
      <c r="G51" s="60"/>
      <c r="H51" s="60"/>
      <c r="I51" s="60">
        <f t="shared" ref="I51:R51" si="5">CHOOSE($B50,I52,I53,I54)</f>
        <v>0.15</v>
      </c>
      <c r="J51" s="60">
        <f t="shared" si="5"/>
        <v>0.13</v>
      </c>
      <c r="K51" s="60">
        <f t="shared" si="5"/>
        <v>0.11</v>
      </c>
      <c r="L51" s="60">
        <f t="shared" si="5"/>
        <v>0.1</v>
      </c>
      <c r="M51" s="60">
        <f t="shared" si="5"/>
        <v>0.09</v>
      </c>
      <c r="N51" s="60">
        <f t="shared" si="5"/>
        <v>0.08</v>
      </c>
      <c r="O51" s="60">
        <f t="shared" si="5"/>
        <v>7.0000000000000007E-2</v>
      </c>
      <c r="P51" s="60">
        <f t="shared" si="5"/>
        <v>0.05</v>
      </c>
      <c r="Q51" s="60">
        <f t="shared" si="5"/>
        <v>0.04</v>
      </c>
      <c r="R51" s="60">
        <f t="shared" si="5"/>
        <v>0.03</v>
      </c>
    </row>
    <row r="52" spans="2:18" ht="15" customHeight="1" x14ac:dyDescent="0.15">
      <c r="B52" s="18" t="s">
        <v>8</v>
      </c>
      <c r="D52" s="61"/>
      <c r="E52" s="61"/>
      <c r="F52" s="61"/>
      <c r="G52" s="61"/>
      <c r="H52" s="61"/>
      <c r="I52" s="61">
        <v>0.15</v>
      </c>
      <c r="J52" s="61">
        <v>0.13</v>
      </c>
      <c r="K52" s="61">
        <v>0.11</v>
      </c>
      <c r="L52" s="61">
        <v>0.1</v>
      </c>
      <c r="M52" s="61">
        <v>0.09</v>
      </c>
      <c r="N52" s="61">
        <v>0.08</v>
      </c>
      <c r="O52" s="61">
        <v>7.0000000000000007E-2</v>
      </c>
      <c r="P52" s="61">
        <v>0.05</v>
      </c>
      <c r="Q52" s="61">
        <v>0.04</v>
      </c>
      <c r="R52" s="61">
        <v>0.03</v>
      </c>
    </row>
    <row r="53" spans="2:18" ht="15" customHeight="1" x14ac:dyDescent="0.15">
      <c r="B53" s="18" t="s">
        <v>9</v>
      </c>
      <c r="D53" s="61"/>
      <c r="E53" s="61"/>
      <c r="F53" s="61"/>
      <c r="G53" s="61"/>
      <c r="H53" s="61"/>
      <c r="I53" s="61">
        <v>0.1</v>
      </c>
      <c r="J53" s="61">
        <v>0.08</v>
      </c>
      <c r="K53" s="61">
        <v>0.06</v>
      </c>
      <c r="L53" s="61">
        <v>0.05</v>
      </c>
      <c r="M53" s="61">
        <v>0.04</v>
      </c>
      <c r="N53" s="61">
        <v>0.03</v>
      </c>
      <c r="O53" s="61">
        <v>0.02</v>
      </c>
      <c r="P53" s="61">
        <v>0</v>
      </c>
      <c r="Q53" s="61">
        <v>0</v>
      </c>
      <c r="R53" s="61">
        <v>0</v>
      </c>
    </row>
    <row r="54" spans="2:18" ht="15" customHeight="1" x14ac:dyDescent="0.15">
      <c r="B54" s="18" t="s">
        <v>10</v>
      </c>
      <c r="D54" s="61"/>
      <c r="E54" s="61"/>
      <c r="F54" s="61"/>
      <c r="G54" s="61"/>
      <c r="H54" s="61"/>
      <c r="I54" s="61">
        <v>0.18</v>
      </c>
      <c r="J54" s="61">
        <v>0.16</v>
      </c>
      <c r="K54" s="61">
        <v>0.14000000000000001</v>
      </c>
      <c r="L54" s="61">
        <v>0.13</v>
      </c>
      <c r="M54" s="61">
        <v>0.12</v>
      </c>
      <c r="N54" s="61">
        <v>0.11</v>
      </c>
      <c r="O54" s="61">
        <v>0.1</v>
      </c>
      <c r="P54" s="61">
        <v>0.08</v>
      </c>
      <c r="Q54" s="61">
        <v>7.0000000000000007E-2</v>
      </c>
      <c r="R54" s="61">
        <v>0.06</v>
      </c>
    </row>
    <row r="57" spans="2:18" ht="15" customHeight="1" x14ac:dyDescent="0.15">
      <c r="B57" s="62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 spans="2:18" ht="15" customHeight="1" x14ac:dyDescent="0.15">
      <c r="B58" s="57" t="s">
        <v>13</v>
      </c>
    </row>
    <row r="59" spans="2:18" ht="15" customHeight="1" x14ac:dyDescent="0.15">
      <c r="B59" s="58">
        <f>$C$2</f>
        <v>1</v>
      </c>
      <c r="D59" s="59">
        <v>2021</v>
      </c>
      <c r="E59" s="59">
        <f t="shared" ref="E59:R59" si="6">+D59+1</f>
        <v>2022</v>
      </c>
      <c r="F59" s="59">
        <f t="shared" si="6"/>
        <v>2023</v>
      </c>
      <c r="G59" s="59">
        <f t="shared" si="6"/>
        <v>2024</v>
      </c>
      <c r="H59" s="59">
        <f t="shared" si="6"/>
        <v>2025</v>
      </c>
      <c r="I59" s="59">
        <f t="shared" si="6"/>
        <v>2026</v>
      </c>
      <c r="J59" s="59">
        <f t="shared" si="6"/>
        <v>2027</v>
      </c>
      <c r="K59" s="59">
        <f t="shared" si="6"/>
        <v>2028</v>
      </c>
      <c r="L59" s="59">
        <f t="shared" si="6"/>
        <v>2029</v>
      </c>
      <c r="M59" s="59">
        <f t="shared" si="6"/>
        <v>2030</v>
      </c>
      <c r="N59" s="59">
        <f t="shared" si="6"/>
        <v>2031</v>
      </c>
      <c r="O59" s="59">
        <f t="shared" si="6"/>
        <v>2032</v>
      </c>
      <c r="P59" s="59">
        <f t="shared" si="6"/>
        <v>2033</v>
      </c>
      <c r="Q59" s="59">
        <f t="shared" si="6"/>
        <v>2034</v>
      </c>
      <c r="R59" s="59">
        <f t="shared" si="6"/>
        <v>2035</v>
      </c>
    </row>
    <row r="60" spans="2:18" ht="15" customHeight="1" x14ac:dyDescent="0.15">
      <c r="B60" s="18" t="s">
        <v>7</v>
      </c>
      <c r="D60" s="60">
        <v>0.25174655444985999</v>
      </c>
      <c r="E60" s="60">
        <v>0.26063519550721198</v>
      </c>
      <c r="F60" s="60">
        <v>0.27805256974714299</v>
      </c>
      <c r="G60" s="60">
        <v>0.32715796061372399</v>
      </c>
      <c r="H60" s="60">
        <v>0.30326559703054801</v>
      </c>
      <c r="I60" s="60">
        <f t="shared" ref="I60:R60" si="7">CHOOSE($B59,I61,I62,I63)</f>
        <v>0.29499999999999998</v>
      </c>
      <c r="J60" s="60">
        <f t="shared" si="7"/>
        <v>0.28999999999999998</v>
      </c>
      <c r="K60" s="60">
        <f t="shared" si="7"/>
        <v>0.28499999999999998</v>
      </c>
      <c r="L60" s="60">
        <f t="shared" si="7"/>
        <v>0.28199999999999997</v>
      </c>
      <c r="M60" s="60">
        <f t="shared" si="7"/>
        <v>0.28000000000000003</v>
      </c>
      <c r="N60" s="60">
        <f t="shared" si="7"/>
        <v>0.28000000000000003</v>
      </c>
      <c r="O60" s="60">
        <f t="shared" si="7"/>
        <v>0.28000000000000003</v>
      </c>
      <c r="P60" s="60">
        <f t="shared" si="7"/>
        <v>0.28000000000000003</v>
      </c>
      <c r="Q60" s="60">
        <f t="shared" si="7"/>
        <v>0.28000000000000003</v>
      </c>
      <c r="R60" s="60">
        <f t="shared" si="7"/>
        <v>0.28000000000000003</v>
      </c>
    </row>
    <row r="61" spans="2:18" ht="15" customHeight="1" x14ac:dyDescent="0.15">
      <c r="B61" s="18" t="s">
        <v>8</v>
      </c>
      <c r="D61" s="61"/>
      <c r="E61" s="61"/>
      <c r="F61" s="61"/>
      <c r="G61" s="61"/>
      <c r="H61" s="61"/>
      <c r="I61" s="61">
        <v>0.29499999999999998</v>
      </c>
      <c r="J61" s="61">
        <v>0.28999999999999998</v>
      </c>
      <c r="K61" s="61">
        <v>0.28499999999999998</v>
      </c>
      <c r="L61" s="61">
        <v>0.28199999999999997</v>
      </c>
      <c r="M61" s="61">
        <v>0.28000000000000003</v>
      </c>
      <c r="N61" s="61">
        <v>0.28000000000000003</v>
      </c>
      <c r="O61" s="61">
        <v>0.28000000000000003</v>
      </c>
      <c r="P61" s="61">
        <v>0.28000000000000003</v>
      </c>
      <c r="Q61" s="61">
        <v>0.28000000000000003</v>
      </c>
      <c r="R61" s="61">
        <v>0.28000000000000003</v>
      </c>
    </row>
    <row r="62" spans="2:18" ht="15" customHeight="1" x14ac:dyDescent="0.15">
      <c r="B62" s="18" t="s">
        <v>9</v>
      </c>
      <c r="D62" s="61"/>
      <c r="E62" s="61"/>
      <c r="F62" s="61"/>
      <c r="G62" s="61"/>
      <c r="H62" s="61"/>
      <c r="I62" s="61">
        <v>0.315</v>
      </c>
      <c r="J62" s="61">
        <v>0.31</v>
      </c>
      <c r="K62" s="61">
        <v>0.30499999999999999</v>
      </c>
      <c r="L62" s="61">
        <v>0.30199999999999999</v>
      </c>
      <c r="M62" s="61">
        <v>0.3</v>
      </c>
      <c r="N62" s="61">
        <v>0.3</v>
      </c>
      <c r="O62" s="61">
        <v>0.3</v>
      </c>
      <c r="P62" s="61">
        <v>0.3</v>
      </c>
      <c r="Q62" s="61">
        <v>0.3</v>
      </c>
      <c r="R62" s="61">
        <v>0.3</v>
      </c>
    </row>
    <row r="63" spans="2:18" ht="15" customHeight="1" x14ac:dyDescent="0.15">
      <c r="B63" s="18" t="s">
        <v>10</v>
      </c>
      <c r="D63" s="61"/>
      <c r="E63" s="61"/>
      <c r="F63" s="61"/>
      <c r="G63" s="61"/>
      <c r="H63" s="61"/>
      <c r="I63" s="61">
        <v>0.28000000000000003</v>
      </c>
      <c r="J63" s="61">
        <v>0.27500000000000002</v>
      </c>
      <c r="K63" s="61">
        <v>0.27</v>
      </c>
      <c r="L63" s="61">
        <v>0.26700000000000002</v>
      </c>
      <c r="M63" s="61">
        <v>0.26500000000000001</v>
      </c>
      <c r="N63" s="61">
        <v>0.26500000000000001</v>
      </c>
      <c r="O63" s="61">
        <v>0.26500000000000001</v>
      </c>
      <c r="P63" s="61">
        <v>0.26500000000000001</v>
      </c>
      <c r="Q63" s="61">
        <v>0.26500000000000001</v>
      </c>
      <c r="R63" s="61">
        <v>0.26500000000000001</v>
      </c>
    </row>
    <row r="65" spans="2:18" ht="15" customHeight="1" x14ac:dyDescent="0.15"/>
    <row r="66" spans="2:18" ht="15" customHeight="1" x14ac:dyDescent="0.15">
      <c r="B66" s="57" t="s">
        <v>14</v>
      </c>
    </row>
    <row r="67" spans="2:18" ht="15" customHeight="1" x14ac:dyDescent="0.15">
      <c r="B67" s="58">
        <f>$C$2</f>
        <v>1</v>
      </c>
      <c r="D67" s="59">
        <v>2021</v>
      </c>
      <c r="E67" s="59">
        <f t="shared" ref="E67:R67" si="8">+D67+1</f>
        <v>2022</v>
      </c>
      <c r="F67" s="59">
        <f t="shared" si="8"/>
        <v>2023</v>
      </c>
      <c r="G67" s="59">
        <f t="shared" si="8"/>
        <v>2024</v>
      </c>
      <c r="H67" s="59">
        <f t="shared" si="8"/>
        <v>2025</v>
      </c>
      <c r="I67" s="59">
        <f t="shared" si="8"/>
        <v>2026</v>
      </c>
      <c r="J67" s="59">
        <f t="shared" si="8"/>
        <v>2027</v>
      </c>
      <c r="K67" s="59">
        <f t="shared" si="8"/>
        <v>2028</v>
      </c>
      <c r="L67" s="59">
        <f t="shared" si="8"/>
        <v>2029</v>
      </c>
      <c r="M67" s="59">
        <f t="shared" si="8"/>
        <v>2030</v>
      </c>
      <c r="N67" s="59">
        <f t="shared" si="8"/>
        <v>2031</v>
      </c>
      <c r="O67" s="59">
        <f t="shared" si="8"/>
        <v>2032</v>
      </c>
      <c r="P67" s="59">
        <f t="shared" si="8"/>
        <v>2033</v>
      </c>
      <c r="Q67" s="59">
        <f t="shared" si="8"/>
        <v>2034</v>
      </c>
      <c r="R67" s="59">
        <f t="shared" si="8"/>
        <v>2035</v>
      </c>
    </row>
    <row r="68" spans="2:18" ht="15" customHeight="1" x14ac:dyDescent="0.15">
      <c r="B68" s="18" t="s">
        <v>7</v>
      </c>
      <c r="D68" s="60">
        <v>1.1309145057496899E-2</v>
      </c>
      <c r="E68" s="60">
        <v>1.05344805815611E-2</v>
      </c>
      <c r="F68" s="60">
        <v>9.3984343262442493E-3</v>
      </c>
      <c r="G68" s="60">
        <v>9.2669063973202202E-3</v>
      </c>
      <c r="H68" s="60">
        <v>9.2607185113224508E-3</v>
      </c>
      <c r="I68" s="60">
        <f t="shared" ref="I68:R68" si="9">CHOOSE($B67,I69,I70,I71)</f>
        <v>0.01</v>
      </c>
      <c r="J68" s="60">
        <f t="shared" si="9"/>
        <v>0.01</v>
      </c>
      <c r="K68" s="60">
        <f t="shared" si="9"/>
        <v>0.01</v>
      </c>
      <c r="L68" s="60">
        <f t="shared" si="9"/>
        <v>0.01</v>
      </c>
      <c r="M68" s="60">
        <f t="shared" si="9"/>
        <v>0.01</v>
      </c>
      <c r="N68" s="60">
        <f t="shared" si="9"/>
        <v>0.01</v>
      </c>
      <c r="O68" s="60">
        <f t="shared" si="9"/>
        <v>0.01</v>
      </c>
      <c r="P68" s="60">
        <f t="shared" si="9"/>
        <v>0.01</v>
      </c>
      <c r="Q68" s="60">
        <f t="shared" si="9"/>
        <v>0.01</v>
      </c>
      <c r="R68" s="60">
        <f t="shared" si="9"/>
        <v>0.01</v>
      </c>
    </row>
    <row r="69" spans="2:18" ht="15" customHeight="1" x14ac:dyDescent="0.15">
      <c r="B69" s="18" t="s">
        <v>8</v>
      </c>
      <c r="D69" s="61"/>
      <c r="E69" s="61"/>
      <c r="F69" s="61"/>
      <c r="G69" s="61"/>
      <c r="H69" s="61"/>
      <c r="I69" s="61">
        <v>0.01</v>
      </c>
      <c r="J69" s="61">
        <v>0.01</v>
      </c>
      <c r="K69" s="61">
        <v>0.01</v>
      </c>
      <c r="L69" s="61">
        <v>0.01</v>
      </c>
      <c r="M69" s="61">
        <v>0.01</v>
      </c>
      <c r="N69" s="61">
        <v>0.01</v>
      </c>
      <c r="O69" s="61">
        <v>0.01</v>
      </c>
      <c r="P69" s="61">
        <v>0.01</v>
      </c>
      <c r="Q69" s="61">
        <v>0.01</v>
      </c>
      <c r="R69" s="61">
        <v>0.01</v>
      </c>
    </row>
    <row r="70" spans="2:18" ht="15" customHeight="1" x14ac:dyDescent="0.15">
      <c r="B70" s="18" t="s">
        <v>9</v>
      </c>
      <c r="D70" s="61"/>
      <c r="E70" s="61"/>
      <c r="F70" s="61"/>
      <c r="G70" s="61"/>
      <c r="H70" s="61"/>
      <c r="I70" s="61">
        <v>1.2E-2</v>
      </c>
      <c r="J70" s="61">
        <v>1.2E-2</v>
      </c>
      <c r="K70" s="61">
        <v>1.2E-2</v>
      </c>
      <c r="L70" s="61">
        <v>1.2E-2</v>
      </c>
      <c r="M70" s="61">
        <v>1.2E-2</v>
      </c>
      <c r="N70" s="61">
        <v>1.2E-2</v>
      </c>
      <c r="O70" s="61">
        <v>1.2E-2</v>
      </c>
      <c r="P70" s="61">
        <v>1.2E-2</v>
      </c>
      <c r="Q70" s="61">
        <v>1.2E-2</v>
      </c>
      <c r="R70" s="61">
        <v>1.2E-2</v>
      </c>
    </row>
    <row r="71" spans="2:18" ht="15" customHeight="1" x14ac:dyDescent="0.15">
      <c r="B71" s="18" t="s">
        <v>10</v>
      </c>
      <c r="D71" s="61"/>
      <c r="E71" s="61"/>
      <c r="F71" s="61"/>
      <c r="G71" s="61"/>
      <c r="H71" s="61"/>
      <c r="I71" s="61">
        <v>8.0000000000000002E-3</v>
      </c>
      <c r="J71" s="61">
        <v>8.0000000000000002E-3</v>
      </c>
      <c r="K71" s="61">
        <v>8.0000000000000002E-3</v>
      </c>
      <c r="L71" s="61">
        <v>8.0000000000000002E-3</v>
      </c>
      <c r="M71" s="61">
        <v>8.0000000000000002E-3</v>
      </c>
      <c r="N71" s="61">
        <v>8.0000000000000002E-3</v>
      </c>
      <c r="O71" s="61">
        <v>8.0000000000000002E-3</v>
      </c>
      <c r="P71" s="61">
        <v>8.0000000000000002E-3</v>
      </c>
      <c r="Q71" s="61">
        <v>8.0000000000000002E-3</v>
      </c>
      <c r="R71" s="61">
        <v>8.0000000000000002E-3</v>
      </c>
    </row>
    <row r="73" spans="2:18" ht="15" customHeight="1" x14ac:dyDescent="0.15"/>
    <row r="74" spans="2:18" ht="15" customHeight="1" x14ac:dyDescent="0.15"/>
    <row r="75" spans="2:18" ht="15" customHeight="1" x14ac:dyDescent="0.15">
      <c r="B75" s="57" t="s">
        <v>15</v>
      </c>
    </row>
    <row r="76" spans="2:18" ht="15" customHeight="1" x14ac:dyDescent="0.15">
      <c r="B76" s="58">
        <f>$C$2</f>
        <v>1</v>
      </c>
      <c r="D76" s="59">
        <v>2021</v>
      </c>
      <c r="E76" s="59">
        <f t="shared" ref="E76:R76" si="10">+D76+1</f>
        <v>2022</v>
      </c>
      <c r="F76" s="59">
        <f t="shared" si="10"/>
        <v>2023</v>
      </c>
      <c r="G76" s="59">
        <f t="shared" si="10"/>
        <v>2024</v>
      </c>
      <c r="H76" s="59">
        <f t="shared" si="10"/>
        <v>2025</v>
      </c>
      <c r="I76" s="59">
        <f t="shared" si="10"/>
        <v>2026</v>
      </c>
      <c r="J76" s="59">
        <f t="shared" si="10"/>
        <v>2027</v>
      </c>
      <c r="K76" s="59">
        <f t="shared" si="10"/>
        <v>2028</v>
      </c>
      <c r="L76" s="59">
        <f t="shared" si="10"/>
        <v>2029</v>
      </c>
      <c r="M76" s="59">
        <f t="shared" si="10"/>
        <v>2030</v>
      </c>
      <c r="N76" s="59">
        <f t="shared" si="10"/>
        <v>2031</v>
      </c>
      <c r="O76" s="59">
        <f t="shared" si="10"/>
        <v>2032</v>
      </c>
      <c r="P76" s="59">
        <f t="shared" si="10"/>
        <v>2033</v>
      </c>
      <c r="Q76" s="59">
        <f t="shared" si="10"/>
        <v>2034</v>
      </c>
      <c r="R76" s="59">
        <f t="shared" si="10"/>
        <v>2035</v>
      </c>
    </row>
    <row r="77" spans="2:18" ht="15" customHeight="1" x14ac:dyDescent="0.15">
      <c r="B77" s="18" t="s">
        <v>7</v>
      </c>
      <c r="D77" s="60">
        <v>2.29594012188162E-3</v>
      </c>
      <c r="E77" s="60">
        <v>2.51035710205579E-3</v>
      </c>
      <c r="F77" s="60">
        <v>5.5391473336334398E-3</v>
      </c>
      <c r="G77" s="60">
        <v>2.7059469275319201E-3</v>
      </c>
      <c r="H77" s="60">
        <v>2.1240611673162698E-3</v>
      </c>
      <c r="I77" s="60">
        <f t="shared" ref="I77:R77" si="11">CHOOSE($B76,I78,I79,I80)</f>
        <v>8.9999999999999993E-3</v>
      </c>
      <c r="J77" s="60">
        <f t="shared" si="11"/>
        <v>8.9999999999999993E-3</v>
      </c>
      <c r="K77" s="60">
        <f t="shared" si="11"/>
        <v>8.9999999999999993E-3</v>
      </c>
      <c r="L77" s="60">
        <f t="shared" si="11"/>
        <v>8.9999999999999993E-3</v>
      </c>
      <c r="M77" s="60">
        <f t="shared" si="11"/>
        <v>8.9999999999999993E-3</v>
      </c>
      <c r="N77" s="60">
        <f t="shared" si="11"/>
        <v>8.9999999999999993E-3</v>
      </c>
      <c r="O77" s="60">
        <f t="shared" si="11"/>
        <v>8.9999999999999993E-3</v>
      </c>
      <c r="P77" s="60">
        <f t="shared" si="11"/>
        <v>8.9999999999999993E-3</v>
      </c>
      <c r="Q77" s="60">
        <f t="shared" si="11"/>
        <v>8.9999999999999993E-3</v>
      </c>
      <c r="R77" s="60">
        <f t="shared" si="11"/>
        <v>8.9999999999999993E-3</v>
      </c>
    </row>
    <row r="78" spans="2:18" ht="15" customHeight="1" x14ac:dyDescent="0.15">
      <c r="B78" s="18" t="s">
        <v>8</v>
      </c>
      <c r="D78" s="61"/>
      <c r="E78" s="61"/>
      <c r="F78" s="61"/>
      <c r="G78" s="61"/>
      <c r="H78" s="61"/>
      <c r="I78" s="61">
        <v>8.9999999999999993E-3</v>
      </c>
      <c r="J78" s="61">
        <v>8.9999999999999993E-3</v>
      </c>
      <c r="K78" s="61">
        <v>8.9999999999999993E-3</v>
      </c>
      <c r="L78" s="61">
        <v>8.9999999999999993E-3</v>
      </c>
      <c r="M78" s="61">
        <v>8.9999999999999993E-3</v>
      </c>
      <c r="N78" s="61">
        <v>8.9999999999999993E-3</v>
      </c>
      <c r="O78" s="61">
        <v>8.9999999999999993E-3</v>
      </c>
      <c r="P78" s="61">
        <v>8.9999999999999993E-3</v>
      </c>
      <c r="Q78" s="61">
        <v>8.9999999999999993E-3</v>
      </c>
      <c r="R78" s="61">
        <v>8.9999999999999993E-3</v>
      </c>
    </row>
    <row r="79" spans="2:18" ht="15" customHeight="1" x14ac:dyDescent="0.15">
      <c r="B79" s="18" t="s">
        <v>9</v>
      </c>
      <c r="D79" s="61"/>
      <c r="E79" s="61"/>
      <c r="F79" s="61"/>
      <c r="G79" s="61"/>
      <c r="H79" s="61"/>
      <c r="I79" s="61">
        <v>1.4999999999999999E-2</v>
      </c>
      <c r="J79" s="61">
        <v>1.4999999999999999E-2</v>
      </c>
      <c r="K79" s="61">
        <v>1.4999999999999999E-2</v>
      </c>
      <c r="L79" s="61">
        <v>1.4999999999999999E-2</v>
      </c>
      <c r="M79" s="61">
        <v>1.4999999999999999E-2</v>
      </c>
      <c r="N79" s="61">
        <v>1.4999999999999999E-2</v>
      </c>
      <c r="O79" s="61">
        <v>1.4999999999999999E-2</v>
      </c>
      <c r="P79" s="61">
        <v>1.4999999999999999E-2</v>
      </c>
      <c r="Q79" s="61">
        <v>1.4999999999999999E-2</v>
      </c>
      <c r="R79" s="61">
        <v>1.4999999999999999E-2</v>
      </c>
    </row>
    <row r="80" spans="2:18" ht="15" customHeight="1" x14ac:dyDescent="0.15">
      <c r="B80" s="18" t="s">
        <v>10</v>
      </c>
      <c r="D80" s="61"/>
      <c r="E80" s="61"/>
      <c r="F80" s="61"/>
      <c r="G80" s="61"/>
      <c r="H80" s="61"/>
      <c r="I80" s="61">
        <v>4.0000000000000001E-3</v>
      </c>
      <c r="J80" s="61">
        <v>4.0000000000000001E-3</v>
      </c>
      <c r="K80" s="61">
        <v>4.0000000000000001E-3</v>
      </c>
      <c r="L80" s="61">
        <v>4.0000000000000001E-3</v>
      </c>
      <c r="M80" s="61">
        <v>4.0000000000000001E-3</v>
      </c>
      <c r="N80" s="61">
        <v>4.0000000000000001E-3</v>
      </c>
      <c r="O80" s="61">
        <v>4.0000000000000001E-3</v>
      </c>
      <c r="P80" s="61">
        <v>4.0000000000000001E-3</v>
      </c>
      <c r="Q80" s="61">
        <v>4.0000000000000001E-3</v>
      </c>
      <c r="R80" s="61">
        <v>4.0000000000000001E-3</v>
      </c>
    </row>
    <row r="82" spans="2:18" ht="15" customHeight="1" x14ac:dyDescent="0.15"/>
    <row r="83" spans="2:18" ht="15" customHeight="1" x14ac:dyDescent="0.15">
      <c r="B83" s="57" t="s">
        <v>16</v>
      </c>
      <c r="D83" s="63">
        <v>0.25</v>
      </c>
      <c r="E83" s="18" t="s">
        <v>17</v>
      </c>
    </row>
    <row r="84" spans="2:18" ht="15" customHeight="1" x14ac:dyDescent="0.15">
      <c r="B84" s="64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</row>
    <row r="85" spans="2:18" ht="15" customHeight="1" x14ac:dyDescent="0.15"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</row>
    <row r="87" spans="2:18" ht="15" customHeight="1" x14ac:dyDescent="0.15"/>
    <row r="88" spans="2:18" ht="15" customHeight="1" x14ac:dyDescent="0.15"/>
    <row r="89" spans="2:18" ht="15" customHeight="1" x14ac:dyDescent="0.15"/>
    <row r="90" spans="2:18" ht="15" customHeight="1" x14ac:dyDescent="0.15"/>
    <row r="91" spans="2:18" ht="15" customHeight="1" x14ac:dyDescent="0.15"/>
    <row r="92" spans="2:18" ht="15" customHeight="1" x14ac:dyDescent="0.15"/>
  </sheetData>
  <mergeCells count="3">
    <mergeCell ref="B31:R31"/>
    <mergeCell ref="B8:K8"/>
    <mergeCell ref="B20:K20"/>
  </mergeCells>
  <pageMargins left="0.75" right="0.75" top="1" bottom="1" header="0.511811023622047" footer="0.511811023622047"/>
  <pageSetup scale="4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25" sqref="G25"/>
    </sheetView>
  </sheetViews>
  <sheetFormatPr baseColWidth="10" defaultColWidth="8.83203125" defaultRowHeight="13" x14ac:dyDescent="0.15"/>
  <cols>
    <col min="1" max="1" width="2.6640625" style="56" customWidth="1"/>
    <col min="2" max="2" width="36" style="56" customWidth="1"/>
    <col min="3" max="17" width="11" style="110" customWidth="1"/>
    <col min="18" max="16384" width="8.83203125" style="110"/>
  </cols>
  <sheetData>
    <row r="1" spans="1:19" s="56" customFormat="1" ht="12.75" customHeight="1" x14ac:dyDescent="0.15"/>
    <row r="2" spans="1:19" s="56" customFormat="1" ht="17.25" customHeight="1" x14ac:dyDescent="0.2">
      <c r="B2" s="420" t="s">
        <v>18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</row>
    <row r="3" spans="1:19" s="56" customFormat="1" ht="12.75" customHeight="1" x14ac:dyDescent="0.15">
      <c r="B3" s="69"/>
    </row>
    <row r="4" spans="1:19" s="56" customFormat="1" ht="13.5" customHeight="1" x14ac:dyDescent="0.15">
      <c r="B4" s="260" t="s">
        <v>19</v>
      </c>
      <c r="C4" s="109">
        <v>2021</v>
      </c>
      <c r="D4" s="109">
        <f t="shared" ref="D4:Q4" si="0">+C4+1</f>
        <v>2022</v>
      </c>
      <c r="E4" s="109">
        <f t="shared" si="0"/>
        <v>2023</v>
      </c>
      <c r="F4" s="109">
        <f t="shared" si="0"/>
        <v>2024</v>
      </c>
      <c r="G4" s="225">
        <f t="shared" si="0"/>
        <v>2025</v>
      </c>
      <c r="H4" s="108">
        <f t="shared" si="0"/>
        <v>2026</v>
      </c>
      <c r="I4" s="109">
        <f t="shared" si="0"/>
        <v>2027</v>
      </c>
      <c r="J4" s="109">
        <f t="shared" si="0"/>
        <v>2028</v>
      </c>
      <c r="K4" s="109">
        <f t="shared" si="0"/>
        <v>2029</v>
      </c>
      <c r="L4" s="109">
        <f t="shared" si="0"/>
        <v>2030</v>
      </c>
      <c r="M4" s="109">
        <f t="shared" si="0"/>
        <v>2031</v>
      </c>
      <c r="N4" s="109">
        <f t="shared" si="0"/>
        <v>2032</v>
      </c>
      <c r="O4" s="109">
        <f t="shared" si="0"/>
        <v>2033</v>
      </c>
      <c r="P4" s="109">
        <f t="shared" si="0"/>
        <v>2034</v>
      </c>
      <c r="Q4" s="109">
        <f t="shared" si="0"/>
        <v>2035</v>
      </c>
    </row>
    <row r="5" spans="1:19" s="56" customFormat="1" ht="4.5" customHeight="1" x14ac:dyDescent="0.15">
      <c r="B5" s="69"/>
      <c r="C5" s="261"/>
      <c r="D5" s="261"/>
      <c r="E5" s="261"/>
      <c r="F5" s="261"/>
      <c r="G5" s="262"/>
      <c r="H5" s="263"/>
      <c r="I5" s="263"/>
      <c r="J5" s="263"/>
      <c r="K5" s="263"/>
      <c r="L5" s="263"/>
      <c r="M5" s="263"/>
      <c r="N5" s="263"/>
      <c r="O5" s="263"/>
      <c r="P5" s="263"/>
      <c r="Q5" s="263"/>
    </row>
    <row r="6" spans="1:19" ht="13.5" customHeight="1" x14ac:dyDescent="0.15">
      <c r="B6" s="264" t="s">
        <v>20</v>
      </c>
      <c r="C6" s="75">
        <f t="shared" ref="C6:Q6" si="1">+C9+C13+C17</f>
        <v>304.88600000000019</v>
      </c>
      <c r="D6" s="75">
        <f t="shared" si="1"/>
        <v>332.62200000000041</v>
      </c>
      <c r="E6" s="75">
        <f t="shared" si="1"/>
        <v>364.3160000000002</v>
      </c>
      <c r="F6" s="75">
        <f t="shared" si="1"/>
        <v>389.88199999999961</v>
      </c>
      <c r="G6" s="265">
        <f t="shared" si="1"/>
        <v>425.12900000000002</v>
      </c>
      <c r="H6" s="75">
        <f t="shared" si="1"/>
        <v>462.25893000000002</v>
      </c>
      <c r="I6" s="75">
        <f t="shared" si="1"/>
        <v>501.10063410000009</v>
      </c>
      <c r="J6" s="75">
        <f t="shared" si="1"/>
        <v>541.32914506700013</v>
      </c>
      <c r="K6" s="75">
        <f t="shared" si="1"/>
        <v>579.49892659802015</v>
      </c>
      <c r="L6" s="75">
        <f t="shared" si="1"/>
        <v>614.70200445314129</v>
      </c>
      <c r="M6" s="75">
        <f t="shared" si="1"/>
        <v>646.04506199667355</v>
      </c>
      <c r="N6" s="75">
        <f t="shared" si="1"/>
        <v>672.68540853436309</v>
      </c>
      <c r="O6" s="75">
        <f t="shared" si="1"/>
        <v>697.4177890159483</v>
      </c>
      <c r="P6" s="75">
        <f t="shared" si="1"/>
        <v>720.73002725484287</v>
      </c>
      <c r="Q6" s="75">
        <f t="shared" si="1"/>
        <v>742.35192807248814</v>
      </c>
      <c r="S6" s="266">
        <f>(H7+I7+J7+K7+L7)/5</f>
        <v>7.6580572666223728E-2</v>
      </c>
    </row>
    <row r="7" spans="1:19" s="114" customFormat="1" ht="12.75" customHeight="1" x14ac:dyDescent="0.15">
      <c r="A7" s="69"/>
      <c r="B7" s="69" t="s">
        <v>21</v>
      </c>
      <c r="D7" s="267">
        <f t="shared" ref="D7:Q7" si="2">+D6/C6-1</f>
        <v>9.0971707457870199E-2</v>
      </c>
      <c r="E7" s="267">
        <f t="shared" si="2"/>
        <v>9.5285338913240203E-2</v>
      </c>
      <c r="F7" s="267">
        <f t="shared" si="2"/>
        <v>7.0175342285267117E-2</v>
      </c>
      <c r="G7" s="268">
        <f t="shared" si="2"/>
        <v>9.0404276165610309E-2</v>
      </c>
      <c r="H7" s="267">
        <f t="shared" si="2"/>
        <v>8.7338031515140191E-2</v>
      </c>
      <c r="I7" s="267">
        <f t="shared" si="2"/>
        <v>8.4025859922273627E-2</v>
      </c>
      <c r="J7" s="267">
        <f t="shared" si="2"/>
        <v>8.0280303454918434E-2</v>
      </c>
      <c r="K7" s="267">
        <f t="shared" si="2"/>
        <v>7.0511225709629421E-2</v>
      </c>
      <c r="L7" s="267">
        <f t="shared" si="2"/>
        <v>6.0747442729156997E-2</v>
      </c>
      <c r="M7" s="267">
        <f t="shared" si="2"/>
        <v>5.0989027718261637E-2</v>
      </c>
      <c r="N7" s="267">
        <f t="shared" si="2"/>
        <v>4.1236050091234544E-2</v>
      </c>
      <c r="O7" s="267">
        <f t="shared" si="2"/>
        <v>3.6766637372842359E-2</v>
      </c>
      <c r="P7" s="267">
        <f t="shared" si="2"/>
        <v>3.3426503605232138E-2</v>
      </c>
      <c r="Q7" s="267">
        <f t="shared" si="2"/>
        <v>3.0000000000000027E-2</v>
      </c>
    </row>
    <row r="8" spans="1:19" ht="12.75" customHeight="1" x14ac:dyDescent="0.15">
      <c r="G8" s="269"/>
    </row>
    <row r="9" spans="1:19" ht="13.5" customHeight="1" x14ac:dyDescent="0.15">
      <c r="B9" s="270" t="s">
        <v>22</v>
      </c>
      <c r="C9" s="271">
        <v>218.55055567604199</v>
      </c>
      <c r="D9" s="271">
        <v>238.43247289175801</v>
      </c>
      <c r="E9" s="271">
        <v>261.15159187917101</v>
      </c>
      <c r="F9" s="271">
        <v>279.47799422763399</v>
      </c>
      <c r="G9" s="272">
        <v>304.74400000000003</v>
      </c>
      <c r="H9" s="75">
        <f>+G9*(1+Assumptions!I35)</f>
        <v>326.07608000000005</v>
      </c>
      <c r="I9" s="75">
        <f>+H9*(1+Assumptions!J35)</f>
        <v>348.90140560000009</v>
      </c>
      <c r="J9" s="75">
        <f>+I9*(1+Assumptions!K35)</f>
        <v>373.32450399200013</v>
      </c>
      <c r="K9" s="75">
        <f>+J9*(1+Assumptions!L35)</f>
        <v>395.72397423152017</v>
      </c>
      <c r="L9" s="75">
        <f>+K9*(1+Assumptions!M35)</f>
        <v>415.51017294309622</v>
      </c>
      <c r="M9" s="75">
        <f>+L9*(1+Assumptions!N35)</f>
        <v>432.13057986082009</v>
      </c>
      <c r="N9" s="75">
        <f>+M9*(1+Assumptions!O35)</f>
        <v>445.09449725664473</v>
      </c>
      <c r="O9" s="75">
        <f>+N9*(1+Assumptions!P35)</f>
        <v>458.44733217434407</v>
      </c>
      <c r="P9" s="75">
        <f>+O9*(1+Assumptions!Q35)</f>
        <v>472.20075213957438</v>
      </c>
      <c r="Q9" s="75">
        <f>+P9*(1+Assumptions!R35)</f>
        <v>486.36677470376162</v>
      </c>
    </row>
    <row r="10" spans="1:19" s="114" customFormat="1" ht="12.75" customHeight="1" x14ac:dyDescent="0.15">
      <c r="A10" s="69"/>
      <c r="B10" s="76" t="s">
        <v>23</v>
      </c>
      <c r="C10" s="273">
        <f t="shared" ref="C10:Q10" si="3">+C9/C6</f>
        <v>0.71682712776592517</v>
      </c>
      <c r="D10" s="273">
        <f t="shared" si="3"/>
        <v>0.71682712776592561</v>
      </c>
      <c r="E10" s="273">
        <f t="shared" si="3"/>
        <v>0.71682712776592539</v>
      </c>
      <c r="F10" s="273">
        <f t="shared" si="3"/>
        <v>0.71682712776592472</v>
      </c>
      <c r="G10" s="268">
        <f t="shared" si="3"/>
        <v>0.71682712776592517</v>
      </c>
      <c r="H10" s="267">
        <f t="shared" si="3"/>
        <v>0.7053970379760971</v>
      </c>
      <c r="I10" s="267">
        <f t="shared" si="3"/>
        <v>0.69627013389564585</v>
      </c>
      <c r="J10" s="267">
        <f t="shared" si="3"/>
        <v>0.68964419779355102</v>
      </c>
      <c r="K10" s="267">
        <f t="shared" si="3"/>
        <v>0.68287266130869162</v>
      </c>
      <c r="L10" s="267">
        <f t="shared" si="3"/>
        <v>0.67595382792471526</v>
      </c>
      <c r="M10" s="267">
        <f t="shared" si="3"/>
        <v>0.66888612773429901</v>
      </c>
      <c r="N10" s="267">
        <f t="shared" si="3"/>
        <v>0.66166813135788094</v>
      </c>
      <c r="O10" s="267">
        <f t="shared" si="3"/>
        <v>0.65734963947680503</v>
      </c>
      <c r="P10" s="267">
        <f t="shared" si="3"/>
        <v>0.65517008350286055</v>
      </c>
      <c r="Q10" s="267">
        <f t="shared" si="3"/>
        <v>0.65517008350286066</v>
      </c>
    </row>
    <row r="11" spans="1:19" s="114" customFormat="1" ht="12.75" customHeight="1" x14ac:dyDescent="0.15">
      <c r="A11" s="69"/>
      <c r="B11" s="76" t="s">
        <v>24</v>
      </c>
      <c r="C11" s="274"/>
      <c r="D11" s="273">
        <f t="shared" ref="D11:Q11" si="4">+D9/C9-1</f>
        <v>9.0971707457870865E-2</v>
      </c>
      <c r="E11" s="273">
        <f t="shared" si="4"/>
        <v>9.5285338913239759E-2</v>
      </c>
      <c r="F11" s="273">
        <f t="shared" si="4"/>
        <v>7.0175342285266229E-2</v>
      </c>
      <c r="G11" s="268">
        <f t="shared" si="4"/>
        <v>9.0404276165610975E-2</v>
      </c>
      <c r="H11" s="267">
        <f t="shared" si="4"/>
        <v>7.0000000000000062E-2</v>
      </c>
      <c r="I11" s="267">
        <f t="shared" si="4"/>
        <v>7.0000000000000062E-2</v>
      </c>
      <c r="J11" s="267">
        <f t="shared" si="4"/>
        <v>7.0000000000000062E-2</v>
      </c>
      <c r="K11" s="267">
        <f t="shared" si="4"/>
        <v>6.0000000000000053E-2</v>
      </c>
      <c r="L11" s="267">
        <f t="shared" si="4"/>
        <v>5.0000000000000044E-2</v>
      </c>
      <c r="M11" s="267">
        <f t="shared" si="4"/>
        <v>4.0000000000000036E-2</v>
      </c>
      <c r="N11" s="267">
        <f t="shared" si="4"/>
        <v>3.0000000000000027E-2</v>
      </c>
      <c r="O11" s="267">
        <f t="shared" si="4"/>
        <v>3.0000000000000027E-2</v>
      </c>
      <c r="P11" s="267">
        <f t="shared" si="4"/>
        <v>3.0000000000000027E-2</v>
      </c>
      <c r="Q11" s="267">
        <f t="shared" si="4"/>
        <v>3.0000000000000027E-2</v>
      </c>
    </row>
    <row r="12" spans="1:19" ht="12.75" customHeight="1" x14ac:dyDescent="0.15">
      <c r="B12" s="112"/>
      <c r="C12" s="275"/>
      <c r="D12" s="275"/>
      <c r="E12" s="275"/>
      <c r="F12" s="275"/>
      <c r="G12" s="269"/>
    </row>
    <row r="13" spans="1:19" ht="13.5" customHeight="1" x14ac:dyDescent="0.15">
      <c r="B13" s="120" t="s">
        <v>25</v>
      </c>
      <c r="C13" s="271">
        <v>54.023748979721503</v>
      </c>
      <c r="D13" s="271">
        <v>58.938381667682002</v>
      </c>
      <c r="E13" s="271">
        <v>64.554345339885103</v>
      </c>
      <c r="F13" s="271">
        <v>69.084468620113</v>
      </c>
      <c r="G13" s="272">
        <v>75.33</v>
      </c>
      <c r="H13" s="71">
        <f>+G13*(1+Assumptions!I43)</f>
        <v>84.369600000000005</v>
      </c>
      <c r="I13" s="71">
        <f>+H13*(1+Assumptions!J43)</f>
        <v>93.650256000000013</v>
      </c>
      <c r="J13" s="71">
        <f>+I13*(1+Assumptions!K43)</f>
        <v>103.01528160000002</v>
      </c>
      <c r="K13" s="71">
        <f>+J13*(1+Assumptions!L43)</f>
        <v>112.28665694400003</v>
      </c>
      <c r="L13" s="71">
        <f>+K13*(1+Assumptions!M43)</f>
        <v>121.26958949952004</v>
      </c>
      <c r="M13" s="71">
        <f>+L13*(1+Assumptions!N43)</f>
        <v>129.75846076448644</v>
      </c>
      <c r="N13" s="71">
        <f>+M13*(1+Assumptions!O43)</f>
        <v>137.54396841035563</v>
      </c>
      <c r="O13" s="71">
        <f>+N13*(1+Assumptions!P43)</f>
        <v>144.42116683087343</v>
      </c>
      <c r="P13" s="71">
        <f>+O13*(1+Assumptions!Q43)</f>
        <v>150.19801350410839</v>
      </c>
      <c r="Q13" s="71">
        <f>+P13*(1+Assumptions!R43)</f>
        <v>154.70395390923164</v>
      </c>
    </row>
    <row r="14" spans="1:19" s="114" customFormat="1" ht="12.75" customHeight="1" x14ac:dyDescent="0.15">
      <c r="A14" s="69"/>
      <c r="B14" s="117" t="s">
        <v>23</v>
      </c>
      <c r="C14" s="273">
        <f t="shared" ref="C14:Q14" si="5">+C13/C6</f>
        <v>0.17719327545286262</v>
      </c>
      <c r="D14" s="273">
        <f t="shared" si="5"/>
        <v>0.1771932754528622</v>
      </c>
      <c r="E14" s="273">
        <f t="shared" si="5"/>
        <v>0.17719327545286254</v>
      </c>
      <c r="F14" s="273">
        <f t="shared" si="5"/>
        <v>0.17719327545286284</v>
      </c>
      <c r="G14" s="268">
        <f t="shared" si="5"/>
        <v>0.17719327545286254</v>
      </c>
      <c r="H14" s="267">
        <f t="shared" si="5"/>
        <v>0.18251588995803716</v>
      </c>
      <c r="I14" s="267">
        <f t="shared" si="5"/>
        <v>0.18688911892558308</v>
      </c>
      <c r="J14" s="267">
        <f t="shared" si="5"/>
        <v>0.19030063786284748</v>
      </c>
      <c r="K14" s="267">
        <f t="shared" si="5"/>
        <v>0.19376508184956431</v>
      </c>
      <c r="L14" s="267">
        <f t="shared" si="5"/>
        <v>0.19728191647496801</v>
      </c>
      <c r="M14" s="267">
        <f t="shared" si="5"/>
        <v>0.2008504799393615</v>
      </c>
      <c r="N14" s="267">
        <f t="shared" si="5"/>
        <v>0.20446997462013392</v>
      </c>
      <c r="O14" s="267">
        <f t="shared" si="5"/>
        <v>0.2070798438259665</v>
      </c>
      <c r="P14" s="267">
        <f t="shared" si="5"/>
        <v>0.20839705274413367</v>
      </c>
      <c r="Q14" s="267">
        <f t="shared" si="5"/>
        <v>0.20839705274413367</v>
      </c>
    </row>
    <row r="15" spans="1:19" s="114" customFormat="1" ht="12.75" customHeight="1" x14ac:dyDescent="0.15">
      <c r="A15" s="69"/>
      <c r="B15" s="117" t="s">
        <v>24</v>
      </c>
      <c r="C15" s="274"/>
      <c r="D15" s="273">
        <f t="shared" ref="D15:Q15" si="6">+D13/C13-1</f>
        <v>9.0971707457867534E-2</v>
      </c>
      <c r="E15" s="273">
        <f t="shared" si="6"/>
        <v>9.5285338913242201E-2</v>
      </c>
      <c r="F15" s="273">
        <f t="shared" si="6"/>
        <v>7.0175342285269116E-2</v>
      </c>
      <c r="G15" s="268">
        <f t="shared" si="6"/>
        <v>9.040427616560831E-2</v>
      </c>
      <c r="H15" s="267">
        <f t="shared" si="6"/>
        <v>0.12000000000000011</v>
      </c>
      <c r="I15" s="267">
        <f t="shared" si="6"/>
        <v>0.1100000000000001</v>
      </c>
      <c r="J15" s="267">
        <f t="shared" si="6"/>
        <v>0.10000000000000009</v>
      </c>
      <c r="K15" s="267">
        <f t="shared" si="6"/>
        <v>9.000000000000008E-2</v>
      </c>
      <c r="L15" s="267">
        <f t="shared" si="6"/>
        <v>8.0000000000000071E-2</v>
      </c>
      <c r="M15" s="267">
        <f t="shared" si="6"/>
        <v>7.0000000000000062E-2</v>
      </c>
      <c r="N15" s="267">
        <f t="shared" si="6"/>
        <v>6.0000000000000053E-2</v>
      </c>
      <c r="O15" s="267">
        <f t="shared" si="6"/>
        <v>5.0000000000000044E-2</v>
      </c>
      <c r="P15" s="267">
        <f t="shared" si="6"/>
        <v>4.0000000000000036E-2</v>
      </c>
      <c r="Q15" s="267">
        <f t="shared" si="6"/>
        <v>3.0000000000000027E-2</v>
      </c>
    </row>
    <row r="16" spans="1:19" ht="12.75" customHeight="1" x14ac:dyDescent="0.15">
      <c r="B16" s="120"/>
      <c r="C16" s="275"/>
      <c r="D16" s="275"/>
      <c r="E16" s="275"/>
      <c r="F16" s="275"/>
      <c r="G16" s="269"/>
    </row>
    <row r="17" spans="1:17" ht="13.5" customHeight="1" x14ac:dyDescent="0.15">
      <c r="B17" s="276" t="s">
        <v>26</v>
      </c>
      <c r="C17" s="271">
        <v>32.311695344236703</v>
      </c>
      <c r="D17" s="271">
        <v>35.2511454405604</v>
      </c>
      <c r="E17" s="271">
        <v>38.610062780944098</v>
      </c>
      <c r="F17" s="271">
        <v>41.3195371522526</v>
      </c>
      <c r="G17" s="272">
        <v>45.055</v>
      </c>
      <c r="H17" s="71">
        <f>+G17*(1+Assumptions!I51)</f>
        <v>51.813249999999996</v>
      </c>
      <c r="I17" s="71">
        <f>+H17*(1+Assumptions!J51)</f>
        <v>58.548972499999991</v>
      </c>
      <c r="J17" s="71">
        <f>+I17*(1+Assumptions!K51)</f>
        <v>64.989359475000001</v>
      </c>
      <c r="K17" s="71">
        <f>+J17*(1+Assumptions!L51)</f>
        <v>71.488295422500002</v>
      </c>
      <c r="L17" s="71">
        <f>+K17*(1+Assumptions!M51)</f>
        <v>77.922242010525011</v>
      </c>
      <c r="M17" s="71">
        <f>+L17*(1+Assumptions!N51)</f>
        <v>84.156021371367018</v>
      </c>
      <c r="N17" s="71">
        <f>+M17*(1+Assumptions!O51)</f>
        <v>90.046942867362716</v>
      </c>
      <c r="O17" s="71">
        <f>+N17*(1+Assumptions!P51)</f>
        <v>94.549290010730857</v>
      </c>
      <c r="P17" s="71">
        <f>+O17*(1+Assumptions!Q51)</f>
        <v>98.331261611160102</v>
      </c>
      <c r="Q17" s="71">
        <f>+P17*(1+Assumptions!R51)</f>
        <v>101.28119945949491</v>
      </c>
    </row>
    <row r="18" spans="1:17" ht="12.75" customHeight="1" x14ac:dyDescent="0.15">
      <c r="B18" s="276" t="s">
        <v>23</v>
      </c>
      <c r="C18" s="273">
        <f t="shared" ref="C18:Q18" si="7">+C17/C6</f>
        <v>0.10597959678121227</v>
      </c>
      <c r="D18" s="273">
        <f t="shared" si="7"/>
        <v>0.10597959678121217</v>
      </c>
      <c r="E18" s="273">
        <f t="shared" si="7"/>
        <v>0.10597959678121213</v>
      </c>
      <c r="F18" s="273">
        <f t="shared" si="7"/>
        <v>0.10597959678121237</v>
      </c>
      <c r="G18" s="268">
        <f t="shared" si="7"/>
        <v>0.10597959678121228</v>
      </c>
      <c r="H18" s="267">
        <f t="shared" si="7"/>
        <v>0.11208707206586575</v>
      </c>
      <c r="I18" s="267">
        <f t="shared" si="7"/>
        <v>0.11684074717877109</v>
      </c>
      <c r="J18" s="267">
        <f t="shared" si="7"/>
        <v>0.1200551643436015</v>
      </c>
      <c r="K18" s="267">
        <f t="shared" si="7"/>
        <v>0.12336225684174415</v>
      </c>
      <c r="L18" s="267">
        <f t="shared" si="7"/>
        <v>0.12676425560031668</v>
      </c>
      <c r="M18" s="267">
        <f t="shared" si="7"/>
        <v>0.13026339232633952</v>
      </c>
      <c r="N18" s="267">
        <f t="shared" si="7"/>
        <v>0.13386189402198517</v>
      </c>
      <c r="O18" s="267">
        <f t="shared" si="7"/>
        <v>0.13557051669722858</v>
      </c>
      <c r="P18" s="267">
        <f t="shared" si="7"/>
        <v>0.13643286375300576</v>
      </c>
      <c r="Q18" s="267">
        <f t="shared" si="7"/>
        <v>0.13643286375300578</v>
      </c>
    </row>
    <row r="19" spans="1:17" ht="13.5" customHeight="1" x14ac:dyDescent="0.15">
      <c r="B19" s="276" t="s">
        <v>24</v>
      </c>
      <c r="C19" s="275"/>
      <c r="D19" s="277">
        <f t="shared" ref="D19:Q19" si="8">+D17/C17-1</f>
        <v>9.0971707457869311E-2</v>
      </c>
      <c r="E19" s="277">
        <f t="shared" si="8"/>
        <v>9.5285338913239537E-2</v>
      </c>
      <c r="F19" s="277">
        <f t="shared" si="8"/>
        <v>7.017534228526956E-2</v>
      </c>
      <c r="G19" s="278">
        <f t="shared" si="8"/>
        <v>9.0404276165609421E-2</v>
      </c>
      <c r="H19" s="60">
        <f t="shared" si="8"/>
        <v>0.14999999999999991</v>
      </c>
      <c r="I19" s="60">
        <f t="shared" si="8"/>
        <v>0.12999999999999989</v>
      </c>
      <c r="J19" s="60">
        <f t="shared" si="8"/>
        <v>0.1100000000000001</v>
      </c>
      <c r="K19" s="60">
        <f t="shared" si="8"/>
        <v>0.10000000000000009</v>
      </c>
      <c r="L19" s="60">
        <f t="shared" si="8"/>
        <v>9.000000000000008E-2</v>
      </c>
      <c r="M19" s="60">
        <f t="shared" si="8"/>
        <v>8.0000000000000071E-2</v>
      </c>
      <c r="N19" s="60">
        <f t="shared" si="8"/>
        <v>7.0000000000000062E-2</v>
      </c>
      <c r="O19" s="60">
        <f t="shared" si="8"/>
        <v>5.0000000000000044E-2</v>
      </c>
      <c r="P19" s="60">
        <f t="shared" si="8"/>
        <v>4.0000000000000036E-2</v>
      </c>
      <c r="Q19" s="60">
        <f t="shared" si="8"/>
        <v>3.0000000000000027E-2</v>
      </c>
    </row>
    <row r="20" spans="1:17" ht="12.75" customHeight="1" x14ac:dyDescent="0.15">
      <c r="B20" s="276"/>
      <c r="G20" s="269"/>
    </row>
    <row r="21" spans="1:17" ht="12.75" customHeight="1" x14ac:dyDescent="0.15">
      <c r="B21" s="276"/>
      <c r="C21" s="103"/>
      <c r="D21" s="103"/>
      <c r="E21" s="103"/>
      <c r="F21" s="103"/>
      <c r="G21" s="279"/>
      <c r="H21" s="267"/>
      <c r="I21" s="267"/>
      <c r="J21" s="267"/>
      <c r="K21" s="280"/>
      <c r="L21" s="280"/>
      <c r="M21" s="280"/>
      <c r="N21" s="280"/>
      <c r="O21" s="280"/>
      <c r="P21" s="280"/>
      <c r="Q21" s="280"/>
    </row>
    <row r="22" spans="1:17" ht="13.5" customHeight="1" x14ac:dyDescent="0.15">
      <c r="B22" s="112" t="s">
        <v>27</v>
      </c>
      <c r="C22" s="281">
        <v>-76.754000000000005</v>
      </c>
      <c r="D22" s="281">
        <v>-86.694000000000003</v>
      </c>
      <c r="E22" s="281">
        <v>-101.29600000000001</v>
      </c>
      <c r="F22" s="281">
        <v>-127.551</v>
      </c>
      <c r="G22" s="272">
        <v>-128.922</v>
      </c>
      <c r="H22" s="282">
        <f>-Assumptions!I60*H6</f>
        <v>-136.36638435</v>
      </c>
      <c r="I22" s="282">
        <f>-Assumptions!J60*I6</f>
        <v>-145.31918388900002</v>
      </c>
      <c r="J22" s="282">
        <f>-Assumptions!K60*J6</f>
        <v>-154.27880634409502</v>
      </c>
      <c r="K22" s="282">
        <f>-Assumptions!L60*K6</f>
        <v>-163.41869730064167</v>
      </c>
      <c r="L22" s="282">
        <f>-Assumptions!M60*L6</f>
        <v>-172.11656124687957</v>
      </c>
      <c r="M22" s="282">
        <f>-Assumptions!N60*M6</f>
        <v>-180.89261735906862</v>
      </c>
      <c r="N22" s="282">
        <f>-Assumptions!O60*N6</f>
        <v>-188.3519143896217</v>
      </c>
      <c r="O22" s="282">
        <f>-Assumptions!P60*O6</f>
        <v>-195.27698092446553</v>
      </c>
      <c r="P22" s="282">
        <f>-Assumptions!Q60*P6</f>
        <v>-201.80440763135601</v>
      </c>
      <c r="Q22" s="282">
        <f>-Assumptions!R60*Q6</f>
        <v>-207.8585398602967</v>
      </c>
    </row>
    <row r="23" spans="1:17" ht="13.5" customHeight="1" x14ac:dyDescent="0.15">
      <c r="B23" s="112" t="s">
        <v>28</v>
      </c>
      <c r="C23" s="60">
        <f t="shared" ref="C23:Q23" si="9">-C22/C6</f>
        <v>0.25174655444985983</v>
      </c>
      <c r="D23" s="60">
        <f t="shared" si="9"/>
        <v>0.26063820192290316</v>
      </c>
      <c r="E23" s="60">
        <f t="shared" si="9"/>
        <v>0.27804433513762766</v>
      </c>
      <c r="F23" s="60">
        <f t="shared" si="9"/>
        <v>0.32715283085651592</v>
      </c>
      <c r="G23" s="278">
        <f t="shared" si="9"/>
        <v>0.30325383589451671</v>
      </c>
      <c r="H23" s="60">
        <f t="shared" si="9"/>
        <v>0.29499999999999998</v>
      </c>
      <c r="I23" s="60">
        <f t="shared" si="9"/>
        <v>0.28999999999999998</v>
      </c>
      <c r="J23" s="60">
        <f t="shared" si="9"/>
        <v>0.28499999999999998</v>
      </c>
      <c r="K23" s="60">
        <f t="shared" si="9"/>
        <v>0.28199999999999997</v>
      </c>
      <c r="L23" s="60">
        <f t="shared" si="9"/>
        <v>0.28000000000000003</v>
      </c>
      <c r="M23" s="60">
        <f t="shared" si="9"/>
        <v>0.28000000000000003</v>
      </c>
      <c r="N23" s="60">
        <f t="shared" si="9"/>
        <v>0.28000000000000003</v>
      </c>
      <c r="O23" s="60">
        <f t="shared" si="9"/>
        <v>0.28000000000000003</v>
      </c>
      <c r="P23" s="60">
        <f t="shared" si="9"/>
        <v>0.28000000000000003</v>
      </c>
      <c r="Q23" s="60">
        <f t="shared" si="9"/>
        <v>0.28000000000000003</v>
      </c>
    </row>
    <row r="24" spans="1:17" ht="12.75" customHeight="1" x14ac:dyDescent="0.15">
      <c r="B24" s="120"/>
      <c r="G24" s="269"/>
    </row>
    <row r="25" spans="1:17" s="114" customFormat="1" ht="13.5" customHeight="1" x14ac:dyDescent="0.15">
      <c r="A25" s="69"/>
      <c r="B25" s="283" t="s">
        <v>29</v>
      </c>
      <c r="C25" s="78">
        <v>230.53899999999999</v>
      </c>
      <c r="D25" s="78">
        <v>245.929</v>
      </c>
      <c r="E25" s="78">
        <v>263.017</v>
      </c>
      <c r="F25" s="78">
        <v>262.32900000000001</v>
      </c>
      <c r="G25" s="284">
        <v>296.202</v>
      </c>
      <c r="H25" s="78">
        <f t="shared" ref="H25:Q25" si="10">+H6+H22</f>
        <v>325.89254564999999</v>
      </c>
      <c r="I25" s="78">
        <f t="shared" si="10"/>
        <v>355.78145021100011</v>
      </c>
      <c r="J25" s="78">
        <f t="shared" si="10"/>
        <v>387.05033872290511</v>
      </c>
      <c r="K25" s="78">
        <f t="shared" si="10"/>
        <v>416.08022929737848</v>
      </c>
      <c r="L25" s="78">
        <f t="shared" si="10"/>
        <v>442.58544320626174</v>
      </c>
      <c r="M25" s="78">
        <f t="shared" si="10"/>
        <v>465.15244463760496</v>
      </c>
      <c r="N25" s="78">
        <f t="shared" si="10"/>
        <v>484.33349414474139</v>
      </c>
      <c r="O25" s="78">
        <f t="shared" si="10"/>
        <v>502.14080809148277</v>
      </c>
      <c r="P25" s="78">
        <f t="shared" si="10"/>
        <v>518.92561962348691</v>
      </c>
      <c r="Q25" s="78">
        <f t="shared" si="10"/>
        <v>534.49338821219146</v>
      </c>
    </row>
    <row r="26" spans="1:17" s="114" customFormat="1" ht="12.75" customHeight="1" x14ac:dyDescent="0.15">
      <c r="A26" s="69"/>
      <c r="B26" s="117" t="s">
        <v>30</v>
      </c>
      <c r="C26" s="267">
        <f t="shared" ref="C26:Q26" si="11">+C25/C6</f>
        <v>0.7561481996549525</v>
      </c>
      <c r="D26" s="267">
        <f t="shared" si="11"/>
        <v>0.73936480449278674</v>
      </c>
      <c r="E26" s="267">
        <f t="shared" si="11"/>
        <v>0.72194743025285701</v>
      </c>
      <c r="F26" s="267">
        <f t="shared" si="11"/>
        <v>0.67284203938627651</v>
      </c>
      <c r="G26" s="268">
        <f t="shared" si="11"/>
        <v>0.69673440296945155</v>
      </c>
      <c r="H26" s="267">
        <f t="shared" si="11"/>
        <v>0.70499999999999996</v>
      </c>
      <c r="I26" s="267">
        <f t="shared" si="11"/>
        <v>0.71000000000000008</v>
      </c>
      <c r="J26" s="267">
        <f t="shared" si="11"/>
        <v>0.71500000000000008</v>
      </c>
      <c r="K26" s="267">
        <f t="shared" si="11"/>
        <v>0.71799999999999997</v>
      </c>
      <c r="L26" s="267">
        <f t="shared" si="11"/>
        <v>0.72000000000000008</v>
      </c>
      <c r="M26" s="267">
        <f t="shared" si="11"/>
        <v>0.72</v>
      </c>
      <c r="N26" s="267">
        <f t="shared" si="11"/>
        <v>0.72</v>
      </c>
      <c r="O26" s="267">
        <f t="shared" si="11"/>
        <v>0.72</v>
      </c>
      <c r="P26" s="267">
        <f t="shared" si="11"/>
        <v>0.72000000000000008</v>
      </c>
      <c r="Q26" s="267">
        <f t="shared" si="11"/>
        <v>0.72</v>
      </c>
    </row>
    <row r="27" spans="1:17" ht="12.75" customHeight="1" x14ac:dyDescent="0.15">
      <c r="B27" s="120"/>
      <c r="G27" s="269"/>
    </row>
    <row r="28" spans="1:17" ht="13.5" customHeight="1" x14ac:dyDescent="0.15">
      <c r="B28" s="276" t="s">
        <v>31</v>
      </c>
      <c r="C28" s="281">
        <v>-4.4390000000000001</v>
      </c>
      <c r="D28" s="281">
        <v>-4.5860000000000003</v>
      </c>
      <c r="E28" s="281">
        <v>-4.984</v>
      </c>
      <c r="F28" s="281">
        <v>-5.9989999999999997</v>
      </c>
      <c r="G28" s="272">
        <v>-8.3279999999999994</v>
      </c>
      <c r="H28" s="71">
        <f>-Assumptions!I68*H6</f>
        <v>-4.6225893000000005</v>
      </c>
      <c r="I28" s="71">
        <f>-Assumptions!J68*I6</f>
        <v>-5.0110063410000008</v>
      </c>
      <c r="J28" s="71">
        <f>-Assumptions!K68*J6</f>
        <v>-5.4132914506700009</v>
      </c>
      <c r="K28" s="71">
        <f>-Assumptions!L68*K6</f>
        <v>-5.7949892659802016</v>
      </c>
      <c r="L28" s="71">
        <f>-Assumptions!M68*L6</f>
        <v>-6.1470200445314127</v>
      </c>
      <c r="M28" s="71">
        <f>-Assumptions!N68*M6</f>
        <v>-6.4604506199667355</v>
      </c>
      <c r="N28" s="71">
        <f>-Assumptions!O68*N6</f>
        <v>-6.7268540853436312</v>
      </c>
      <c r="O28" s="71">
        <f>-Assumptions!P68*O6</f>
        <v>-6.9741778901594831</v>
      </c>
      <c r="P28" s="71">
        <f>-Assumptions!Q68*P6</f>
        <v>-7.2073002725484292</v>
      </c>
      <c r="Q28" s="71">
        <f>-Assumptions!R68*Q6</f>
        <v>-7.4235192807248813</v>
      </c>
    </row>
    <row r="29" spans="1:17" s="114" customFormat="1" ht="12.75" customHeight="1" x14ac:dyDescent="0.15">
      <c r="A29" s="69"/>
      <c r="B29" s="276" t="s">
        <v>28</v>
      </c>
      <c r="C29" s="267">
        <f t="shared" ref="C29:Q29" si="12">-C28/C6</f>
        <v>1.4559540287189301E-2</v>
      </c>
      <c r="D29" s="267">
        <f t="shared" si="12"/>
        <v>1.3787422359314761E-2</v>
      </c>
      <c r="E29" s="267">
        <f t="shared" si="12"/>
        <v>1.3680431273948981E-2</v>
      </c>
      <c r="F29" s="267">
        <f t="shared" si="12"/>
        <v>1.5386706747169672E-2</v>
      </c>
      <c r="G29" s="268">
        <f t="shared" si="12"/>
        <v>1.9589348174318851E-2</v>
      </c>
      <c r="H29" s="267">
        <f t="shared" si="12"/>
        <v>0.01</v>
      </c>
      <c r="I29" s="267">
        <f t="shared" si="12"/>
        <v>0.01</v>
      </c>
      <c r="J29" s="267">
        <f t="shared" si="12"/>
        <v>0.01</v>
      </c>
      <c r="K29" s="267">
        <f t="shared" si="12"/>
        <v>0.01</v>
      </c>
      <c r="L29" s="267">
        <f t="shared" si="12"/>
        <v>0.01</v>
      </c>
      <c r="M29" s="267">
        <f t="shared" si="12"/>
        <v>0.01</v>
      </c>
      <c r="N29" s="267">
        <f t="shared" si="12"/>
        <v>0.01</v>
      </c>
      <c r="O29" s="267">
        <f t="shared" si="12"/>
        <v>0.01</v>
      </c>
      <c r="P29" s="267">
        <f t="shared" si="12"/>
        <v>0.01</v>
      </c>
      <c r="Q29" s="267">
        <f t="shared" si="12"/>
        <v>0.01</v>
      </c>
    </row>
    <row r="30" spans="1:17" ht="12.75" customHeight="1" x14ac:dyDescent="0.15">
      <c r="B30" s="276"/>
      <c r="G30" s="269"/>
    </row>
    <row r="31" spans="1:17" ht="13.5" customHeight="1" x14ac:dyDescent="0.15">
      <c r="B31" s="285" t="s">
        <v>32</v>
      </c>
      <c r="C31" s="71">
        <f t="shared" ref="C31:Q31" si="13">+C25+C28</f>
        <v>226.1</v>
      </c>
      <c r="D31" s="71">
        <f t="shared" si="13"/>
        <v>241.34299999999999</v>
      </c>
      <c r="E31" s="71">
        <f t="shared" si="13"/>
        <v>258.03300000000002</v>
      </c>
      <c r="F31" s="71">
        <f t="shared" si="13"/>
        <v>256.33</v>
      </c>
      <c r="G31" s="286">
        <f t="shared" si="13"/>
        <v>287.87400000000002</v>
      </c>
      <c r="H31" s="71">
        <f t="shared" si="13"/>
        <v>321.26995634999997</v>
      </c>
      <c r="I31" s="71">
        <f t="shared" si="13"/>
        <v>350.77044387000012</v>
      </c>
      <c r="J31" s="71">
        <f t="shared" si="13"/>
        <v>381.63704727223512</v>
      </c>
      <c r="K31" s="71">
        <f t="shared" si="13"/>
        <v>410.2852400313983</v>
      </c>
      <c r="L31" s="71">
        <f t="shared" si="13"/>
        <v>436.43842316173033</v>
      </c>
      <c r="M31" s="71">
        <f t="shared" si="13"/>
        <v>458.69199401763819</v>
      </c>
      <c r="N31" s="71">
        <f t="shared" si="13"/>
        <v>477.60664005939776</v>
      </c>
      <c r="O31" s="71">
        <f t="shared" si="13"/>
        <v>495.1666302013233</v>
      </c>
      <c r="P31" s="71">
        <f t="shared" si="13"/>
        <v>511.71831935093849</v>
      </c>
      <c r="Q31" s="71">
        <f t="shared" si="13"/>
        <v>527.06986893146654</v>
      </c>
    </row>
    <row r="32" spans="1:17" s="114" customFormat="1" ht="12.75" customHeight="1" x14ac:dyDescent="0.15">
      <c r="A32" s="69"/>
      <c r="B32" s="276" t="s">
        <v>30</v>
      </c>
      <c r="C32" s="267">
        <f t="shared" ref="C32:Q32" si="14">+C31/C6</f>
        <v>0.74158865936776319</v>
      </c>
      <c r="D32" s="267">
        <f t="shared" si="14"/>
        <v>0.72557738213347189</v>
      </c>
      <c r="E32" s="267">
        <f t="shared" si="14"/>
        <v>0.7082669989789081</v>
      </c>
      <c r="F32" s="267">
        <f t="shared" si="14"/>
        <v>0.65745533263910683</v>
      </c>
      <c r="G32" s="268">
        <f t="shared" si="14"/>
        <v>0.67714505479513276</v>
      </c>
      <c r="H32" s="267">
        <f t="shared" si="14"/>
        <v>0.69499999999999995</v>
      </c>
      <c r="I32" s="267">
        <f t="shared" si="14"/>
        <v>0.70000000000000007</v>
      </c>
      <c r="J32" s="267">
        <f t="shared" si="14"/>
        <v>0.70500000000000007</v>
      </c>
      <c r="K32" s="280">
        <f t="shared" si="14"/>
        <v>0.70800000000000007</v>
      </c>
      <c r="L32" s="280">
        <f t="shared" si="14"/>
        <v>0.71000000000000008</v>
      </c>
      <c r="M32" s="280">
        <f t="shared" si="14"/>
        <v>0.71</v>
      </c>
      <c r="N32" s="280">
        <f t="shared" si="14"/>
        <v>0.71</v>
      </c>
      <c r="O32" s="280">
        <f t="shared" si="14"/>
        <v>0.71</v>
      </c>
      <c r="P32" s="280">
        <f t="shared" si="14"/>
        <v>0.71000000000000008</v>
      </c>
      <c r="Q32" s="280">
        <f t="shared" si="14"/>
        <v>0.71</v>
      </c>
    </row>
    <row r="33" spans="1:17" ht="12.75" customHeight="1" x14ac:dyDescent="0.15">
      <c r="B33" s="120"/>
      <c r="G33" s="269"/>
    </row>
    <row r="34" spans="1:17" ht="13.5" customHeight="1" x14ac:dyDescent="0.15">
      <c r="B34" s="120" t="s">
        <v>33</v>
      </c>
      <c r="C34" s="281">
        <v>-0.7</v>
      </c>
      <c r="D34" s="281">
        <v>-0.83499999999999996</v>
      </c>
      <c r="E34" s="281">
        <v>-2.0179999999999998</v>
      </c>
      <c r="F34" s="281">
        <v>-1.0549999999999999</v>
      </c>
      <c r="G34" s="272">
        <v>-0.90300000000000002</v>
      </c>
      <c r="H34" s="282">
        <f>-Assumptions!I77*H6</f>
        <v>-4.1603303699999996</v>
      </c>
      <c r="I34" s="282">
        <f>-Assumptions!J77*I6</f>
        <v>-4.5099057069000006</v>
      </c>
      <c r="J34" s="282">
        <f>-Assumptions!K77*J6</f>
        <v>-4.8719623056030006</v>
      </c>
      <c r="K34" s="282">
        <f>-Assumptions!L77*K6</f>
        <v>-5.215490339382181</v>
      </c>
      <c r="L34" s="282">
        <f>-Assumptions!M77*L6</f>
        <v>-5.5323180400782714</v>
      </c>
      <c r="M34" s="282">
        <f>-Assumptions!N77*M6</f>
        <v>-5.814405557970062</v>
      </c>
      <c r="N34" s="282">
        <f>-Assumptions!O77*N6</f>
        <v>-6.0541686768092671</v>
      </c>
      <c r="O34" s="282">
        <f>-Assumptions!P77*O6</f>
        <v>-6.2767601011435339</v>
      </c>
      <c r="P34" s="282">
        <f>-Assumptions!Q77*P6</f>
        <v>-6.4865702452935849</v>
      </c>
      <c r="Q34" s="282">
        <f>-Assumptions!R77*Q6</f>
        <v>-6.6811673526523929</v>
      </c>
    </row>
    <row r="35" spans="1:17" ht="12.75" customHeight="1" x14ac:dyDescent="0.15">
      <c r="B35" s="120" t="s">
        <v>28</v>
      </c>
      <c r="C35" s="280">
        <f t="shared" ref="C35:Q35" si="15">-C34/C6</f>
        <v>2.2959401218816196E-3</v>
      </c>
      <c r="D35" s="280">
        <f t="shared" si="15"/>
        <v>2.5103571020557839E-3</v>
      </c>
      <c r="E35" s="280">
        <f t="shared" si="15"/>
        <v>5.5391473336334355E-3</v>
      </c>
      <c r="F35" s="280">
        <f t="shared" si="15"/>
        <v>2.7059469275319227E-3</v>
      </c>
      <c r="G35" s="278">
        <f t="shared" si="15"/>
        <v>2.1240611673162733E-3</v>
      </c>
      <c r="H35" s="280">
        <f t="shared" si="15"/>
        <v>8.9999999999999993E-3</v>
      </c>
      <c r="I35" s="280">
        <f t="shared" si="15"/>
        <v>8.9999999999999993E-3</v>
      </c>
      <c r="J35" s="280">
        <f t="shared" si="15"/>
        <v>8.9999999999999993E-3</v>
      </c>
      <c r="K35" s="280">
        <f t="shared" si="15"/>
        <v>8.9999999999999993E-3</v>
      </c>
      <c r="L35" s="280">
        <f t="shared" si="15"/>
        <v>8.9999999999999993E-3</v>
      </c>
      <c r="M35" s="280">
        <f t="shared" si="15"/>
        <v>8.9999999999999993E-3</v>
      </c>
      <c r="N35" s="280">
        <f t="shared" si="15"/>
        <v>8.9999999999999993E-3</v>
      </c>
      <c r="O35" s="280">
        <f t="shared" si="15"/>
        <v>8.9999999999999993E-3</v>
      </c>
      <c r="P35" s="280">
        <f t="shared" si="15"/>
        <v>8.9999999999999993E-3</v>
      </c>
      <c r="Q35" s="280">
        <f t="shared" si="15"/>
        <v>8.9999999999999993E-3</v>
      </c>
    </row>
    <row r="36" spans="1:17" s="114" customFormat="1" ht="12.75" customHeight="1" x14ac:dyDescent="0.15">
      <c r="A36" s="69"/>
      <c r="B36" s="117"/>
      <c r="C36" s="103"/>
      <c r="D36" s="103"/>
      <c r="E36" s="103"/>
      <c r="F36" s="103"/>
      <c r="G36" s="279"/>
      <c r="H36" s="103"/>
      <c r="I36" s="103"/>
      <c r="J36" s="103"/>
      <c r="K36" s="103"/>
      <c r="L36" s="103"/>
      <c r="M36" s="103"/>
      <c r="N36" s="103"/>
      <c r="O36" s="103"/>
      <c r="P36" s="103"/>
      <c r="Q36" s="103"/>
    </row>
    <row r="37" spans="1:17" s="114" customFormat="1" ht="13.5" customHeight="1" x14ac:dyDescent="0.15">
      <c r="A37" s="69"/>
      <c r="B37" s="117" t="s">
        <v>34</v>
      </c>
      <c r="C37" s="281">
        <v>-0.45100000000000001</v>
      </c>
      <c r="D37" s="281">
        <v>-6.0999999999999999E-2</v>
      </c>
      <c r="E37" s="281">
        <v>1.736</v>
      </c>
      <c r="F37" s="281">
        <v>2.0819999999999999</v>
      </c>
      <c r="G37" s="272">
        <v>2.089</v>
      </c>
      <c r="H37" s="287">
        <f>'LBO Modelling'!C66</f>
        <v>0</v>
      </c>
      <c r="I37" s="287">
        <f>'LBO Modelling'!D66</f>
        <v>0</v>
      </c>
      <c r="J37" s="287">
        <f>'LBO Modelling'!E66</f>
        <v>0</v>
      </c>
      <c r="K37" s="287">
        <f>'LBO Modelling'!F66</f>
        <v>0</v>
      </c>
      <c r="L37" s="287">
        <f>'LBO Modelling'!G66</f>
        <v>0</v>
      </c>
      <c r="M37" s="287">
        <f>'LBO Modelling'!H66</f>
        <v>0</v>
      </c>
      <c r="N37" s="287">
        <f>'LBO Modelling'!I66</f>
        <v>0</v>
      </c>
      <c r="O37" s="287">
        <f>'LBO Modelling'!J66</f>
        <v>0</v>
      </c>
      <c r="P37" s="287">
        <f>'LBO Modelling'!K66</f>
        <v>0</v>
      </c>
      <c r="Q37" s="287">
        <f>'LBO Modelling'!L66</f>
        <v>0</v>
      </c>
    </row>
    <row r="38" spans="1:17" ht="12.75" customHeight="1" x14ac:dyDescent="0.15">
      <c r="B38" s="120"/>
      <c r="G38" s="269"/>
    </row>
    <row r="39" spans="1:17" ht="13.5" customHeight="1" x14ac:dyDescent="0.15">
      <c r="B39" s="285" t="s">
        <v>35</v>
      </c>
      <c r="C39" s="71">
        <f t="shared" ref="C39:Q39" si="16">+C31+C37</f>
        <v>225.649</v>
      </c>
      <c r="D39" s="71">
        <f t="shared" si="16"/>
        <v>241.28199999999998</v>
      </c>
      <c r="E39" s="71">
        <f t="shared" si="16"/>
        <v>259.76900000000001</v>
      </c>
      <c r="F39" s="71">
        <f t="shared" si="16"/>
        <v>258.41199999999998</v>
      </c>
      <c r="G39" s="286">
        <f t="shared" si="16"/>
        <v>289.96300000000002</v>
      </c>
      <c r="H39" s="71">
        <f t="shared" si="16"/>
        <v>321.26995634999997</v>
      </c>
      <c r="I39" s="71">
        <f t="shared" si="16"/>
        <v>350.77044387000012</v>
      </c>
      <c r="J39" s="71">
        <f t="shared" si="16"/>
        <v>381.63704727223512</v>
      </c>
      <c r="K39" s="71">
        <f t="shared" si="16"/>
        <v>410.2852400313983</v>
      </c>
      <c r="L39" s="71">
        <f t="shared" si="16"/>
        <v>436.43842316173033</v>
      </c>
      <c r="M39" s="71">
        <f t="shared" si="16"/>
        <v>458.69199401763819</v>
      </c>
      <c r="N39" s="71">
        <f t="shared" si="16"/>
        <v>477.60664005939776</v>
      </c>
      <c r="O39" s="71">
        <f t="shared" si="16"/>
        <v>495.1666302013233</v>
      </c>
      <c r="P39" s="71">
        <f t="shared" si="16"/>
        <v>511.71831935093849</v>
      </c>
      <c r="Q39" s="71">
        <f t="shared" si="16"/>
        <v>527.06986893146654</v>
      </c>
    </row>
    <row r="40" spans="1:17" ht="13.5" customHeight="1" x14ac:dyDescent="0.15">
      <c r="B40" s="276" t="s">
        <v>36</v>
      </c>
      <c r="C40" s="281">
        <v>-42.552999999999997</v>
      </c>
      <c r="D40" s="281">
        <v>-45.603999999999999</v>
      </c>
      <c r="E40" s="281">
        <v>-60.62</v>
      </c>
      <c r="F40" s="281">
        <v>-65.686999999999998</v>
      </c>
      <c r="G40" s="272">
        <v>-72.879000000000005</v>
      </c>
      <c r="H40" s="78">
        <f>-MAX(H39,0)*Assumptions!$D$83</f>
        <v>-80.317489087499993</v>
      </c>
      <c r="I40" s="78">
        <f>-MAX(I39,0)*Assumptions!$D$83</f>
        <v>-87.69261096750003</v>
      </c>
      <c r="J40" s="78">
        <f>-MAX(J39,0)*Assumptions!$D$83</f>
        <v>-95.409261818058781</v>
      </c>
      <c r="K40" s="78">
        <f>-MAX(K39,0)*Assumptions!$D$83</f>
        <v>-102.57131000784958</v>
      </c>
      <c r="L40" s="78">
        <f>-MAX(L39,0)*Assumptions!$D$83</f>
        <v>-109.10960579043258</v>
      </c>
      <c r="M40" s="78">
        <f>-MAX(M39,0)*Assumptions!$D$83</f>
        <v>-114.67299850440955</v>
      </c>
      <c r="N40" s="78">
        <f>-MAX(N39,0)*Assumptions!$D$83</f>
        <v>-119.40166001484944</v>
      </c>
      <c r="O40" s="78">
        <f>-MAX(O39,0)*Assumptions!$D$83</f>
        <v>-123.79165755033083</v>
      </c>
      <c r="P40" s="78">
        <f>-MAX(P39,0)*Assumptions!$D$83</f>
        <v>-127.92957983773462</v>
      </c>
      <c r="Q40" s="78">
        <f>-MAX(Q39,0)*Assumptions!$D$83</f>
        <v>-131.76746723286664</v>
      </c>
    </row>
    <row r="41" spans="1:17" ht="13.5" customHeight="1" x14ac:dyDescent="0.15">
      <c r="B41" s="276" t="s">
        <v>37</v>
      </c>
      <c r="C41" s="60">
        <f t="shared" ref="C41:Q41" si="17">IFERROR(-C40/C39,0)</f>
        <v>0.18858049448479716</v>
      </c>
      <c r="D41" s="60">
        <f t="shared" si="17"/>
        <v>0.18900705398662149</v>
      </c>
      <c r="E41" s="60">
        <f t="shared" si="17"/>
        <v>0.2333611785855895</v>
      </c>
      <c r="F41" s="60">
        <f t="shared" si="17"/>
        <v>0.25419485163227717</v>
      </c>
      <c r="G41" s="278">
        <f t="shared" si="17"/>
        <v>0.25133896393677813</v>
      </c>
      <c r="H41" s="60">
        <f t="shared" si="17"/>
        <v>0.25</v>
      </c>
      <c r="I41" s="60">
        <f t="shared" si="17"/>
        <v>0.25</v>
      </c>
      <c r="J41" s="60">
        <f t="shared" si="17"/>
        <v>0.25</v>
      </c>
      <c r="K41" s="60">
        <f t="shared" si="17"/>
        <v>0.25</v>
      </c>
      <c r="L41" s="60">
        <f t="shared" si="17"/>
        <v>0.25</v>
      </c>
      <c r="M41" s="60">
        <f t="shared" si="17"/>
        <v>0.25</v>
      </c>
      <c r="N41" s="60">
        <f t="shared" si="17"/>
        <v>0.25</v>
      </c>
      <c r="O41" s="60">
        <f t="shared" si="17"/>
        <v>0.25</v>
      </c>
      <c r="P41" s="60">
        <f t="shared" si="17"/>
        <v>0.25</v>
      </c>
      <c r="Q41" s="60">
        <f t="shared" si="17"/>
        <v>0.25</v>
      </c>
    </row>
    <row r="42" spans="1:17" ht="12.75" customHeight="1" x14ac:dyDescent="0.15">
      <c r="B42" s="276"/>
      <c r="G42" s="269"/>
    </row>
    <row r="43" spans="1:17" ht="13.5" customHeight="1" x14ac:dyDescent="0.15">
      <c r="B43" s="285" t="s">
        <v>38</v>
      </c>
      <c r="C43" s="78">
        <f t="shared" ref="C43:Q43" si="18">+C39+C40</f>
        <v>183.096</v>
      </c>
      <c r="D43" s="78">
        <f t="shared" si="18"/>
        <v>195.678</v>
      </c>
      <c r="E43" s="78">
        <f t="shared" si="18"/>
        <v>199.149</v>
      </c>
      <c r="F43" s="78">
        <f t="shared" si="18"/>
        <v>192.72499999999997</v>
      </c>
      <c r="G43" s="284">
        <f t="shared" si="18"/>
        <v>217.084</v>
      </c>
      <c r="H43" s="78">
        <f t="shared" si="18"/>
        <v>240.95246726249997</v>
      </c>
      <c r="I43" s="78">
        <f t="shared" si="18"/>
        <v>263.07783290250006</v>
      </c>
      <c r="J43" s="78">
        <f t="shared" si="18"/>
        <v>286.22778545417634</v>
      </c>
      <c r="K43" s="71">
        <f t="shared" si="18"/>
        <v>307.71393002354876</v>
      </c>
      <c r="L43" s="71">
        <f t="shared" si="18"/>
        <v>327.32881737129776</v>
      </c>
      <c r="M43" s="71">
        <f t="shared" si="18"/>
        <v>344.01899551322867</v>
      </c>
      <c r="N43" s="71">
        <f t="shared" si="18"/>
        <v>358.20498004454834</v>
      </c>
      <c r="O43" s="71">
        <f t="shared" si="18"/>
        <v>371.3749726509925</v>
      </c>
      <c r="P43" s="71">
        <f t="shared" si="18"/>
        <v>383.78873951320384</v>
      </c>
      <c r="Q43" s="71">
        <f t="shared" si="18"/>
        <v>395.30240169859991</v>
      </c>
    </row>
    <row r="44" spans="1:17" ht="13.5" customHeight="1" x14ac:dyDescent="0.15">
      <c r="B44" s="120" t="s">
        <v>30</v>
      </c>
      <c r="C44" s="60">
        <f t="shared" ref="C44:Q44" si="19">+C43/C6</f>
        <v>0.60053921793719578</v>
      </c>
      <c r="D44" s="60">
        <f t="shared" si="19"/>
        <v>0.5882894096000858</v>
      </c>
      <c r="E44" s="60">
        <f t="shared" si="19"/>
        <v>0.54663808342208386</v>
      </c>
      <c r="F44" s="60">
        <f t="shared" si="19"/>
        <v>0.49431622901288125</v>
      </c>
      <c r="G44" s="278">
        <f t="shared" si="19"/>
        <v>0.51063089085900981</v>
      </c>
      <c r="H44" s="60">
        <f t="shared" si="19"/>
        <v>0.52124999999999988</v>
      </c>
      <c r="I44" s="60">
        <f t="shared" si="19"/>
        <v>0.52500000000000002</v>
      </c>
      <c r="J44" s="60">
        <f t="shared" si="19"/>
        <v>0.52875000000000005</v>
      </c>
      <c r="K44" s="60">
        <f t="shared" si="19"/>
        <v>0.53100000000000014</v>
      </c>
      <c r="L44" s="60">
        <f t="shared" si="19"/>
        <v>0.53250000000000008</v>
      </c>
      <c r="M44" s="60">
        <f t="shared" si="19"/>
        <v>0.53249999999999997</v>
      </c>
      <c r="N44" s="60">
        <f t="shared" si="19"/>
        <v>0.53249999999999997</v>
      </c>
      <c r="O44" s="60">
        <f t="shared" si="19"/>
        <v>0.53250000000000008</v>
      </c>
      <c r="P44" s="60">
        <f t="shared" si="19"/>
        <v>0.53249999999999997</v>
      </c>
      <c r="Q44" s="60">
        <f t="shared" si="19"/>
        <v>0.53249999999999997</v>
      </c>
    </row>
    <row r="45" spans="1:17" ht="12.75" customHeight="1" x14ac:dyDescent="0.15">
      <c r="B45" s="270"/>
      <c r="C45" s="182"/>
      <c r="D45" s="182"/>
      <c r="E45" s="182"/>
      <c r="F45" s="182"/>
      <c r="G45" s="288"/>
      <c r="H45" s="182"/>
      <c r="I45" s="182"/>
      <c r="J45" s="182"/>
      <c r="K45" s="182"/>
      <c r="L45" s="182"/>
      <c r="M45" s="182"/>
      <c r="N45" s="182"/>
      <c r="O45" s="182"/>
      <c r="P45" s="182"/>
      <c r="Q45" s="182"/>
    </row>
    <row r="46" spans="1:17" s="114" customFormat="1" ht="12.75" customHeight="1" x14ac:dyDescent="0.15">
      <c r="A46" s="69"/>
      <c r="B46" s="76"/>
      <c r="C46" s="103"/>
      <c r="D46" s="103"/>
      <c r="E46" s="103"/>
      <c r="F46" s="103"/>
      <c r="G46" s="279"/>
      <c r="H46" s="103"/>
      <c r="I46" s="103"/>
      <c r="J46" s="103"/>
      <c r="K46" s="103"/>
      <c r="L46" s="103"/>
      <c r="M46" s="103"/>
      <c r="N46" s="103"/>
      <c r="O46" s="103"/>
      <c r="P46" s="103"/>
      <c r="Q46" s="103"/>
    </row>
    <row r="47" spans="1:17" s="114" customFormat="1" ht="12.75" customHeight="1" x14ac:dyDescent="0.15">
      <c r="A47" s="69"/>
      <c r="B47" s="76" t="s">
        <v>39</v>
      </c>
      <c r="C47" s="78">
        <f t="shared" ref="C47:Q47" si="20">+C25+C34</f>
        <v>229.839</v>
      </c>
      <c r="D47" s="78">
        <f t="shared" si="20"/>
        <v>245.09399999999999</v>
      </c>
      <c r="E47" s="78">
        <f t="shared" si="20"/>
        <v>260.99900000000002</v>
      </c>
      <c r="F47" s="78">
        <f t="shared" si="20"/>
        <v>261.274</v>
      </c>
      <c r="G47" s="284">
        <f t="shared" si="20"/>
        <v>295.29899999999998</v>
      </c>
      <c r="H47" s="78">
        <f t="shared" si="20"/>
        <v>321.73221527999999</v>
      </c>
      <c r="I47" s="78">
        <f t="shared" si="20"/>
        <v>351.27154450410012</v>
      </c>
      <c r="J47" s="78">
        <f t="shared" si="20"/>
        <v>382.1783764173021</v>
      </c>
      <c r="K47" s="78">
        <f t="shared" si="20"/>
        <v>410.86473895799628</v>
      </c>
      <c r="L47" s="78">
        <f t="shared" si="20"/>
        <v>437.05312516618346</v>
      </c>
      <c r="M47" s="78">
        <f t="shared" si="20"/>
        <v>459.33803907963488</v>
      </c>
      <c r="N47" s="78">
        <f t="shared" si="20"/>
        <v>478.27932546793215</v>
      </c>
      <c r="O47" s="78">
        <f t="shared" si="20"/>
        <v>495.86404799033926</v>
      </c>
      <c r="P47" s="78">
        <f t="shared" si="20"/>
        <v>512.43904937819332</v>
      </c>
      <c r="Q47" s="78">
        <f t="shared" si="20"/>
        <v>527.81222085953902</v>
      </c>
    </row>
    <row r="48" spans="1:17" s="114" customFormat="1" ht="13.5" customHeight="1" x14ac:dyDescent="0.15">
      <c r="A48" s="69"/>
      <c r="B48" s="76" t="s">
        <v>40</v>
      </c>
      <c r="C48" s="60">
        <f t="shared" ref="C48:Q48" si="21">+C47/C25</f>
        <v>0.9969636373889017</v>
      </c>
      <c r="D48" s="267">
        <f t="shared" si="21"/>
        <v>0.99660471111580984</v>
      </c>
      <c r="E48" s="267">
        <f t="shared" si="21"/>
        <v>0.9923274921392915</v>
      </c>
      <c r="F48" s="60">
        <f t="shared" si="21"/>
        <v>0.99597833255187185</v>
      </c>
      <c r="G48" s="268">
        <f t="shared" si="21"/>
        <v>0.99695140478457267</v>
      </c>
      <c r="H48" s="60">
        <f t="shared" si="21"/>
        <v>0.98723404255319147</v>
      </c>
      <c r="I48" s="60">
        <f t="shared" si="21"/>
        <v>0.98732394366197185</v>
      </c>
      <c r="J48" s="60">
        <f t="shared" si="21"/>
        <v>0.98741258741258742</v>
      </c>
      <c r="K48" s="60">
        <f t="shared" si="21"/>
        <v>0.98746518105849579</v>
      </c>
      <c r="L48" s="60">
        <f t="shared" si="21"/>
        <v>0.98749999999999993</v>
      </c>
      <c r="M48" s="60">
        <f t="shared" si="21"/>
        <v>0.98749999999999993</v>
      </c>
      <c r="N48" s="60">
        <f t="shared" si="21"/>
        <v>0.98750000000000004</v>
      </c>
      <c r="O48" s="60">
        <f t="shared" si="21"/>
        <v>0.98750000000000004</v>
      </c>
      <c r="P48" s="60">
        <f t="shared" si="21"/>
        <v>0.98750000000000004</v>
      </c>
      <c r="Q48" s="60">
        <f t="shared" si="21"/>
        <v>0.98749999999999993</v>
      </c>
    </row>
    <row r="49" spans="1:17" ht="12.75" customHeight="1" x14ac:dyDescent="0.15">
      <c r="B49" s="117"/>
      <c r="G49" s="269"/>
    </row>
    <row r="50" spans="1:17" ht="12.75" customHeight="1" x14ac:dyDescent="0.15">
      <c r="B50" s="117"/>
      <c r="C50" s="103"/>
      <c r="D50" s="289"/>
      <c r="E50" s="103"/>
      <c r="F50" s="103"/>
      <c r="G50" s="279"/>
      <c r="H50" s="103"/>
      <c r="I50" s="103"/>
      <c r="J50" s="103"/>
      <c r="K50" s="103"/>
      <c r="L50" s="103"/>
      <c r="M50" s="103"/>
      <c r="N50" s="103"/>
      <c r="O50" s="103"/>
      <c r="P50" s="103"/>
      <c r="Q50" s="103"/>
    </row>
    <row r="51" spans="1:17" ht="12.75" customHeight="1" x14ac:dyDescent="0.15">
      <c r="B51" s="117"/>
      <c r="G51" s="269"/>
    </row>
    <row r="52" spans="1:17" ht="12.75" customHeight="1" x14ac:dyDescent="0.15">
      <c r="B52" s="117"/>
    </row>
    <row r="53" spans="1:17" ht="12.75" customHeight="1" x14ac:dyDescent="0.15">
      <c r="B53" s="117"/>
      <c r="C53" s="103"/>
      <c r="D53" s="103"/>
      <c r="E53" s="103"/>
      <c r="F53" s="103"/>
      <c r="G53" s="103"/>
      <c r="H53" s="267"/>
      <c r="I53" s="267"/>
      <c r="J53" s="267"/>
      <c r="K53" s="267"/>
      <c r="L53" s="267"/>
      <c r="M53" s="267"/>
      <c r="N53" s="267"/>
      <c r="O53" s="267"/>
      <c r="P53" s="267"/>
      <c r="Q53" s="267"/>
    </row>
    <row r="54" spans="1:17" ht="12.75" customHeight="1" x14ac:dyDescent="0.15">
      <c r="B54" s="117"/>
    </row>
    <row r="55" spans="1:17" ht="12.75" customHeight="1" x14ac:dyDescent="0.15">
      <c r="B55" s="117"/>
      <c r="E55" s="290"/>
    </row>
    <row r="56" spans="1:17" ht="12.75" customHeight="1" x14ac:dyDescent="0.15">
      <c r="B56" s="117"/>
      <c r="D56" s="103"/>
      <c r="E56" s="103"/>
      <c r="F56" s="291"/>
      <c r="G56" s="291"/>
    </row>
    <row r="57" spans="1:17" ht="12.75" customHeight="1" x14ac:dyDescent="0.15">
      <c r="B57" s="120"/>
      <c r="E57" s="103"/>
    </row>
    <row r="58" spans="1:17" s="114" customFormat="1" ht="12.75" customHeight="1" x14ac:dyDescent="0.15">
      <c r="A58" s="69"/>
      <c r="B58" s="117"/>
      <c r="C58" s="103"/>
      <c r="D58" s="103"/>
      <c r="E58" s="103"/>
      <c r="F58" s="103"/>
      <c r="G58" s="103"/>
    </row>
    <row r="59" spans="1:17" ht="12.75" customHeight="1" x14ac:dyDescent="0.15"/>
    <row r="60" spans="1:17" ht="12.75" customHeight="1" x14ac:dyDescent="0.15"/>
    <row r="61" spans="1:17" ht="12.75" customHeight="1" x14ac:dyDescent="0.15">
      <c r="B61" s="112"/>
    </row>
    <row r="62" spans="1:17" s="114" customFormat="1" ht="12.75" customHeight="1" x14ac:dyDescent="0.15">
      <c r="A62" s="69"/>
      <c r="B62" s="76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</row>
    <row r="63" spans="1:17" ht="12.75" customHeight="1" x14ac:dyDescent="0.15"/>
    <row r="64" spans="1:17" ht="12.75" customHeight="1" x14ac:dyDescent="0.15">
      <c r="B64" s="88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</row>
    <row r="65" spans="1:17" ht="12.75" customHeight="1" x14ac:dyDescent="0.15">
      <c r="B65" s="69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</row>
    <row r="66" spans="1:17" ht="12.75" customHeight="1" x14ac:dyDescent="0.15"/>
    <row r="67" spans="1:17" ht="12.75" customHeight="1" x14ac:dyDescent="0.15">
      <c r="B67" s="112"/>
    </row>
    <row r="68" spans="1:17" s="114" customFormat="1" ht="12.75" customHeight="1" x14ac:dyDescent="0.15">
      <c r="A68" s="69"/>
      <c r="B68" s="76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</row>
    <row r="69" spans="1:17" ht="12.75" customHeight="1" x14ac:dyDescent="0.15"/>
    <row r="70" spans="1:17" ht="12.75" customHeight="1" x14ac:dyDescent="0.15">
      <c r="B70" s="88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</row>
    <row r="71" spans="1:17" ht="12.75" customHeight="1" x14ac:dyDescent="0.15">
      <c r="B71" s="69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</row>
    <row r="72" spans="1:17" ht="12.75" customHeight="1" x14ac:dyDescent="0.15"/>
    <row r="73" spans="1:17" ht="12.75" customHeight="1" x14ac:dyDescent="0.15">
      <c r="B73" s="112"/>
    </row>
    <row r="74" spans="1:17" ht="12.75" customHeight="1" x14ac:dyDescent="0.15">
      <c r="B74" s="76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</row>
    <row r="75" spans="1:17" ht="12.75" customHeight="1" x14ac:dyDescent="0.15">
      <c r="B75" s="112"/>
    </row>
    <row r="76" spans="1:17" ht="12.75" customHeight="1" x14ac:dyDescent="0.15">
      <c r="B76" s="112"/>
    </row>
    <row r="77" spans="1:17" ht="12.75" customHeight="1" x14ac:dyDescent="0.15">
      <c r="B77" s="76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</row>
    <row r="78" spans="1:17" ht="12.75" customHeight="1" x14ac:dyDescent="0.15"/>
    <row r="79" spans="1:17" ht="12.75" customHeight="1" x14ac:dyDescent="0.15">
      <c r="B79" s="88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</row>
    <row r="80" spans="1:17" s="114" customFormat="1" ht="12.75" customHeight="1" x14ac:dyDescent="0.15">
      <c r="A80" s="69"/>
      <c r="B80" s="69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</row>
    <row r="81" spans="1:17" ht="12.75" customHeight="1" x14ac:dyDescent="0.15"/>
    <row r="82" spans="1:17" ht="12.75" customHeight="1" x14ac:dyDescent="0.15">
      <c r="B82" s="112"/>
    </row>
    <row r="83" spans="1:17" ht="12.75" customHeight="1" x14ac:dyDescent="0.15">
      <c r="B83" s="76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</row>
    <row r="84" spans="1:17" s="114" customFormat="1" ht="12.75" customHeight="1" x14ac:dyDescent="0.15">
      <c r="A84" s="69"/>
      <c r="B84" s="76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</row>
    <row r="85" spans="1:17" ht="12.75" customHeight="1" x14ac:dyDescent="0.15">
      <c r="B85" s="112"/>
    </row>
    <row r="86" spans="1:17" ht="12.75" customHeight="1" x14ac:dyDescent="0.15">
      <c r="B86" s="112"/>
    </row>
    <row r="87" spans="1:17" s="114" customFormat="1" ht="12.75" customHeight="1" x14ac:dyDescent="0.15">
      <c r="A87" s="69"/>
      <c r="B87" s="76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</row>
    <row r="88" spans="1:17" ht="12.75" customHeight="1" x14ac:dyDescent="0.15">
      <c r="B88" s="112"/>
    </row>
    <row r="89" spans="1:17" ht="12.75" customHeight="1" x14ac:dyDescent="0.15">
      <c r="B89" s="29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</row>
    <row r="90" spans="1:17" ht="12.75" customHeight="1" x14ac:dyDescent="0.15">
      <c r="B90" s="29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</row>
    <row r="91" spans="1:17" ht="12.75" customHeight="1" x14ac:dyDescent="0.15"/>
    <row r="92" spans="1:17" ht="12.75" customHeight="1" x14ac:dyDescent="0.15">
      <c r="B92" s="88"/>
    </row>
    <row r="93" spans="1:17" ht="12.75" customHeight="1" x14ac:dyDescent="0.15"/>
    <row r="94" spans="1:17" ht="12.75" customHeight="1" x14ac:dyDescent="0.15">
      <c r="B94" s="88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</row>
    <row r="95" spans="1:17" ht="12.75" customHeight="1" x14ac:dyDescent="0.15">
      <c r="B95" s="69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</row>
    <row r="96" spans="1:17" ht="12.75" customHeight="1" x14ac:dyDescent="0.15">
      <c r="B96" s="69"/>
    </row>
    <row r="97" spans="2:17" ht="12.75" customHeight="1" x14ac:dyDescent="0.15">
      <c r="B97" s="112"/>
    </row>
    <row r="98" spans="2:17" ht="12.75" customHeight="1" x14ac:dyDescent="0.15"/>
    <row r="99" spans="2:17" ht="12.75" customHeight="1" x14ac:dyDescent="0.15">
      <c r="B99" s="88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</row>
    <row r="100" spans="2:17" ht="12.75" customHeight="1" x14ac:dyDescent="0.15">
      <c r="B100" s="69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</row>
    <row r="101" spans="2:17" ht="12.75" customHeight="1" x14ac:dyDescent="0.15"/>
    <row r="102" spans="2:17" ht="12.75" customHeight="1" x14ac:dyDescent="0.15"/>
    <row r="103" spans="2:17" ht="12.75" customHeight="1" x14ac:dyDescent="0.15"/>
    <row r="104" spans="2:17" ht="12.75" customHeight="1" x14ac:dyDescent="0.15"/>
    <row r="105" spans="2:17" ht="12.75" customHeight="1" x14ac:dyDescent="0.15"/>
    <row r="106" spans="2:17" ht="12.75" customHeight="1" x14ac:dyDescent="0.15">
      <c r="C106" s="280"/>
      <c r="D106" s="280"/>
      <c r="E106" s="280"/>
      <c r="F106" s="280"/>
      <c r="G106" s="280"/>
    </row>
    <row r="107" spans="2:17" ht="12.75" customHeight="1" x14ac:dyDescent="0.15">
      <c r="C107" s="294"/>
      <c r="D107" s="294"/>
      <c r="E107" s="294"/>
      <c r="F107" s="294"/>
      <c r="G107" s="294"/>
    </row>
    <row r="108" spans="2:17" ht="12.75" customHeight="1" x14ac:dyDescent="0.15"/>
    <row r="109" spans="2:17" ht="12.75" customHeight="1" x14ac:dyDescent="0.15">
      <c r="C109" s="280"/>
      <c r="D109" s="280"/>
      <c r="E109" s="280"/>
      <c r="F109" s="280"/>
      <c r="G109" s="280"/>
    </row>
    <row r="110" spans="2:17" ht="12.75" customHeight="1" x14ac:dyDescent="0.15">
      <c r="C110" s="280"/>
      <c r="D110" s="280"/>
      <c r="E110" s="280"/>
      <c r="F110" s="280"/>
      <c r="G110" s="280"/>
    </row>
  </sheetData>
  <mergeCells count="1">
    <mergeCell ref="B2:Q2"/>
  </mergeCells>
  <pageMargins left="0.75" right="0.75" top="1" bottom="1" header="0.511811023622047" footer="0.511811023622047"/>
  <pageSetup paperSize="9" scale="47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9"/>
  <sheetViews>
    <sheetView showGridLines="0" topLeftCell="A17" zoomScaleNormal="100" workbookViewId="0">
      <selection activeCell="M63" sqref="M63"/>
    </sheetView>
  </sheetViews>
  <sheetFormatPr baseColWidth="10" defaultColWidth="8.83203125" defaultRowHeight="13" x14ac:dyDescent="0.15"/>
  <cols>
    <col min="1" max="1" width="2.6640625" style="56" customWidth="1"/>
    <col min="2" max="2" width="32" style="56" customWidth="1"/>
    <col min="3" max="18" width="11" style="110" customWidth="1"/>
    <col min="19" max="16384" width="8.83203125" style="110"/>
  </cols>
  <sheetData>
    <row r="1" spans="1:18" s="56" customFormat="1" ht="12.75" customHeight="1" x14ac:dyDescent="0.15"/>
    <row r="2" spans="1:18" s="56" customFormat="1" ht="17.25" customHeight="1" x14ac:dyDescent="0.2">
      <c r="B2" s="420" t="s">
        <v>41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</row>
    <row r="3" spans="1:18" s="56" customFormat="1" ht="12.75" customHeight="1" x14ac:dyDescent="0.15">
      <c r="B3" s="69"/>
    </row>
    <row r="4" spans="1:18" s="56" customFormat="1" ht="12.75" customHeight="1" x14ac:dyDescent="0.15">
      <c r="B4" s="107" t="s">
        <v>19</v>
      </c>
      <c r="C4" s="109">
        <f>'Income Statement'!C4</f>
        <v>2021</v>
      </c>
      <c r="D4" s="109">
        <f>'Income Statement'!D4</f>
        <v>2022</v>
      </c>
      <c r="E4" s="109">
        <f>'Income Statement'!E4</f>
        <v>2023</v>
      </c>
      <c r="F4" s="109">
        <f>'Income Statement'!F4</f>
        <v>2024</v>
      </c>
      <c r="G4" s="295">
        <f>'Income Statement'!G4</f>
        <v>2025</v>
      </c>
      <c r="H4" s="296" t="s">
        <v>42</v>
      </c>
      <c r="I4" s="108">
        <f>'Income Statement'!H4</f>
        <v>2026</v>
      </c>
      <c r="J4" s="109">
        <f>'Income Statement'!I4</f>
        <v>2027</v>
      </c>
      <c r="K4" s="109">
        <f>'Income Statement'!J4</f>
        <v>2028</v>
      </c>
      <c r="L4" s="109">
        <f>'Income Statement'!K4</f>
        <v>2029</v>
      </c>
      <c r="M4" s="109">
        <f>'Income Statement'!L4</f>
        <v>2030</v>
      </c>
      <c r="N4" s="109">
        <f>'Income Statement'!M4</f>
        <v>2031</v>
      </c>
      <c r="O4" s="109">
        <f>'Income Statement'!N4</f>
        <v>2032</v>
      </c>
      <c r="P4" s="109">
        <f>'Income Statement'!O4</f>
        <v>2033</v>
      </c>
      <c r="Q4" s="109">
        <f>'Income Statement'!P4</f>
        <v>2034</v>
      </c>
      <c r="R4" s="109">
        <f>'Income Statement'!Q4</f>
        <v>2035</v>
      </c>
    </row>
    <row r="5" spans="1:18" s="56" customFormat="1" ht="12.75" customHeight="1" x14ac:dyDescent="0.15">
      <c r="B5" s="69"/>
      <c r="C5" s="261"/>
      <c r="D5" s="261"/>
      <c r="E5" s="261"/>
      <c r="F5" s="261"/>
      <c r="G5" s="261"/>
      <c r="H5" s="297"/>
      <c r="I5" s="263"/>
      <c r="J5" s="263"/>
      <c r="K5" s="263"/>
      <c r="L5" s="263"/>
      <c r="M5" s="263"/>
      <c r="N5" s="263"/>
      <c r="O5" s="263"/>
      <c r="P5" s="263"/>
      <c r="Q5" s="263"/>
      <c r="R5" s="263"/>
    </row>
    <row r="6" spans="1:18" ht="13.5" customHeight="1" x14ac:dyDescent="0.15">
      <c r="B6" s="298" t="s">
        <v>43</v>
      </c>
      <c r="H6" s="299"/>
    </row>
    <row r="7" spans="1:18" s="114" customFormat="1" ht="12.75" customHeight="1" x14ac:dyDescent="0.15">
      <c r="A7" s="69"/>
      <c r="B7" s="69"/>
      <c r="D7" s="103"/>
      <c r="E7" s="103"/>
      <c r="F7" s="103"/>
      <c r="G7" s="103"/>
      <c r="H7" s="300"/>
    </row>
    <row r="8" spans="1:18" ht="12.75" customHeight="1" x14ac:dyDescent="0.15">
      <c r="B8" s="56" t="s">
        <v>44</v>
      </c>
      <c r="C8" s="71">
        <f>'PPE Schedule'!C10</f>
        <v>11.99</v>
      </c>
      <c r="D8" s="71">
        <f>'PPE Schedule'!D10</f>
        <v>10.43</v>
      </c>
      <c r="E8" s="71">
        <f>'PPE Schedule'!E10</f>
        <v>9.3800000000000008</v>
      </c>
      <c r="F8" s="71">
        <f>'PPE Schedule'!F10</f>
        <v>8.3800000000000008</v>
      </c>
      <c r="G8" s="71">
        <f>'PPE Schedule'!G10</f>
        <v>9.51</v>
      </c>
      <c r="H8" s="301">
        <f>G8</f>
        <v>9.51</v>
      </c>
      <c r="I8" s="71">
        <f>'PPE Schedule'!H10</f>
        <v>9.0477410699999972</v>
      </c>
      <c r="J8" s="71">
        <f>'PPE Schedule'!I10</f>
        <v>8.5466404358999952</v>
      </c>
      <c r="K8" s="71">
        <f>'PPE Schedule'!J10</f>
        <v>8.0053112908329958</v>
      </c>
      <c r="L8" s="71">
        <f>'PPE Schedule'!K10</f>
        <v>7.425812364234976</v>
      </c>
      <c r="M8" s="71">
        <f>'PPE Schedule'!L10</f>
        <v>6.8111103597818357</v>
      </c>
      <c r="N8" s="71">
        <f>'PPE Schedule'!M10</f>
        <v>6.1650652977851621</v>
      </c>
      <c r="O8" s="71">
        <f>'PPE Schedule'!N10</f>
        <v>5.492379889250798</v>
      </c>
      <c r="P8" s="71">
        <f>'PPE Schedule'!O10</f>
        <v>4.7949621002348497</v>
      </c>
      <c r="Q8" s="71">
        <f>'PPE Schedule'!P10</f>
        <v>4.0742320729800054</v>
      </c>
      <c r="R8" s="71">
        <f>'PPE Schedule'!Q10</f>
        <v>3.3318801449075162</v>
      </c>
    </row>
    <row r="9" spans="1:18" ht="12.75" customHeight="1" x14ac:dyDescent="0.15">
      <c r="B9" s="302" t="s">
        <v>45</v>
      </c>
      <c r="C9" s="110">
        <v>0</v>
      </c>
      <c r="D9" s="110">
        <v>0</v>
      </c>
      <c r="E9" s="110">
        <v>0</v>
      </c>
      <c r="F9" s="110">
        <v>0</v>
      </c>
      <c r="G9" s="110">
        <v>0</v>
      </c>
      <c r="H9" s="303">
        <f ca="1">+H46-H8-(H11+H12+H13+H14)-(H16+H17)</f>
        <v>3821.6910717948722</v>
      </c>
      <c r="I9" s="71">
        <f t="shared" ref="I9:R9" ca="1" si="0">H9</f>
        <v>3821.6910717948722</v>
      </c>
      <c r="J9" s="71">
        <f t="shared" ca="1" si="0"/>
        <v>3821.6910717948722</v>
      </c>
      <c r="K9" s="71">
        <f t="shared" ca="1" si="0"/>
        <v>3821.6910717948722</v>
      </c>
      <c r="L9" s="71">
        <f t="shared" ca="1" si="0"/>
        <v>3821.6910717948722</v>
      </c>
      <c r="M9" s="71">
        <f t="shared" ca="1" si="0"/>
        <v>3821.6910717948722</v>
      </c>
      <c r="N9" s="71">
        <f t="shared" ca="1" si="0"/>
        <v>3821.6910717948722</v>
      </c>
      <c r="O9" s="71">
        <f t="shared" ca="1" si="0"/>
        <v>3821.6910717948722</v>
      </c>
      <c r="P9" s="71">
        <f t="shared" ca="1" si="0"/>
        <v>3821.6910717948722</v>
      </c>
      <c r="Q9" s="71">
        <f t="shared" ca="1" si="0"/>
        <v>3821.6910717948722</v>
      </c>
      <c r="R9" s="71">
        <f t="shared" ca="1" si="0"/>
        <v>3821.6910717948722</v>
      </c>
    </row>
    <row r="10" spans="1:18" s="114" customFormat="1" ht="12.75" customHeight="1" x14ac:dyDescent="0.15">
      <c r="A10" s="69"/>
      <c r="B10" s="292" t="s">
        <v>46</v>
      </c>
      <c r="C10" s="71">
        <f t="shared" ref="C10:R10" si="1">C11+C12+C13+C14</f>
        <v>72.156999999999996</v>
      </c>
      <c r="D10" s="71">
        <f t="shared" si="1"/>
        <v>67.342999999999989</v>
      </c>
      <c r="E10" s="71">
        <f t="shared" si="1"/>
        <v>70.503999999999991</v>
      </c>
      <c r="F10" s="71">
        <f t="shared" si="1"/>
        <v>71.149000000000001</v>
      </c>
      <c r="G10" s="71">
        <f t="shared" si="1"/>
        <v>75.277999999999992</v>
      </c>
      <c r="H10" s="304">
        <f t="shared" si="1"/>
        <v>38.055</v>
      </c>
      <c r="I10" s="78">
        <f t="shared" si="1"/>
        <v>218.52820915969178</v>
      </c>
      <c r="J10" s="78">
        <f t="shared" si="1"/>
        <v>393.37852327169134</v>
      </c>
      <c r="K10" s="78">
        <f t="shared" si="1"/>
        <v>571.43911634204539</v>
      </c>
      <c r="L10" s="78">
        <f t="shared" si="1"/>
        <v>767.87002535710451</v>
      </c>
      <c r="M10" s="78">
        <f t="shared" si="1"/>
        <v>970.14384691599128</v>
      </c>
      <c r="N10" s="78">
        <f t="shared" si="1"/>
        <v>1176.2879565304581</v>
      </c>
      <c r="O10" s="78">
        <f t="shared" si="1"/>
        <v>1384.5637289867241</v>
      </c>
      <c r="P10" s="78">
        <f t="shared" si="1"/>
        <v>1136.815677555792</v>
      </c>
      <c r="Q10" s="78">
        <f t="shared" si="1"/>
        <v>1186.8020101254629</v>
      </c>
      <c r="R10" s="78">
        <f t="shared" si="1"/>
        <v>1301.2273951438406</v>
      </c>
    </row>
    <row r="11" spans="1:18" s="114" customFormat="1" ht="13.5" customHeight="1" x14ac:dyDescent="0.15">
      <c r="A11" s="69"/>
      <c r="B11" s="112" t="s">
        <v>47</v>
      </c>
      <c r="C11" s="281">
        <v>42.984999999999999</v>
      </c>
      <c r="D11" s="281">
        <v>35.088999999999999</v>
      </c>
      <c r="E11" s="281">
        <v>33.640999999999998</v>
      </c>
      <c r="F11" s="281">
        <v>35.761000000000003</v>
      </c>
      <c r="G11" s="281">
        <v>37.222999999999999</v>
      </c>
      <c r="H11" s="301">
        <v>0</v>
      </c>
      <c r="I11" s="71">
        <f>'Cash Flow Statement'!H22</f>
        <v>177.24018999999998</v>
      </c>
      <c r="J11" s="71">
        <f>'Cash Flow Statement'!I22</f>
        <v>349.09876175955742</v>
      </c>
      <c r="K11" s="71">
        <f>'Cash Flow Statement'!J22</f>
        <v>524.0607951033403</v>
      </c>
      <c r="L11" s="71">
        <f>'Cash Flow Statement'!K22</f>
        <v>717.55171591150156</v>
      </c>
      <c r="M11" s="71">
        <f>'Cash Flow Statement'!L22</f>
        <v>917.1140565661434</v>
      </c>
      <c r="N11" s="71">
        <f>'Cash Flow Statement'!M22</f>
        <v>1120.843999375091</v>
      </c>
      <c r="O11" s="71">
        <f>'Cash Flow Statement'!N22</f>
        <v>1327.0678265095105</v>
      </c>
      <c r="P11" s="71">
        <f>'Cash Flow Statement'!O22</f>
        <v>1077.4147888819643</v>
      </c>
      <c r="Q11" s="71">
        <f>'Cash Flow Statement'!P22</f>
        <v>1125.6055202522139</v>
      </c>
      <c r="R11" s="71">
        <f>'Cash Flow Statement'!Q22</f>
        <v>1238.3655005743944</v>
      </c>
    </row>
    <row r="12" spans="1:18" ht="13.5" customHeight="1" x14ac:dyDescent="0.15">
      <c r="B12" s="112" t="s">
        <v>48</v>
      </c>
      <c r="C12" s="281">
        <v>5.0030000000000001</v>
      </c>
      <c r="D12" s="281">
        <v>5.0469999999999997</v>
      </c>
      <c r="E12" s="281">
        <v>5.2240000000000002</v>
      </c>
      <c r="F12" s="281">
        <v>5.4820000000000002</v>
      </c>
      <c r="G12" s="281">
        <v>5.6829999999999998</v>
      </c>
      <c r="H12" s="301">
        <f t="shared" ref="H12:R12" si="2">G12</f>
        <v>5.6829999999999998</v>
      </c>
      <c r="I12" s="71">
        <f t="shared" si="2"/>
        <v>5.6829999999999998</v>
      </c>
      <c r="J12" s="71">
        <f t="shared" si="2"/>
        <v>5.6829999999999998</v>
      </c>
      <c r="K12" s="71">
        <f t="shared" si="2"/>
        <v>5.6829999999999998</v>
      </c>
      <c r="L12" s="71">
        <f t="shared" si="2"/>
        <v>5.6829999999999998</v>
      </c>
      <c r="M12" s="71">
        <f t="shared" si="2"/>
        <v>5.6829999999999998</v>
      </c>
      <c r="N12" s="71">
        <f t="shared" si="2"/>
        <v>5.6829999999999998</v>
      </c>
      <c r="O12" s="71">
        <f t="shared" si="2"/>
        <v>5.6829999999999998</v>
      </c>
      <c r="P12" s="71">
        <f t="shared" si="2"/>
        <v>5.6829999999999998</v>
      </c>
      <c r="Q12" s="71">
        <f t="shared" si="2"/>
        <v>5.6829999999999998</v>
      </c>
      <c r="R12" s="71">
        <f t="shared" si="2"/>
        <v>5.6829999999999998</v>
      </c>
    </row>
    <row r="13" spans="1:18" ht="13.5" customHeight="1" x14ac:dyDescent="0.15">
      <c r="B13" s="112" t="s">
        <v>49</v>
      </c>
      <c r="C13" s="281">
        <v>17.931000000000001</v>
      </c>
      <c r="D13" s="281">
        <v>20.957000000000001</v>
      </c>
      <c r="E13" s="281">
        <v>24.896000000000001</v>
      </c>
      <c r="F13" s="281">
        <v>22.178000000000001</v>
      </c>
      <c r="G13" s="281">
        <v>25.251000000000001</v>
      </c>
      <c r="H13" s="301">
        <f>G13</f>
        <v>25.251000000000001</v>
      </c>
      <c r="I13" s="71">
        <f>I55/365*'Income Statement'!H6</f>
        <v>27.862182082191783</v>
      </c>
      <c r="J13" s="71">
        <f>J55/365*'Income Statement'!I6</f>
        <v>30.203325890958912</v>
      </c>
      <c r="K13" s="71">
        <f>K55/365*'Income Statement'!J6</f>
        <v>32.628058058832885</v>
      </c>
      <c r="L13" s="71">
        <f>L55/365*'Income Statement'!K6</f>
        <v>34.928702425086151</v>
      </c>
      <c r="M13" s="71">
        <f>M55/365*'Income Statement'!L6</f>
        <v>37.050531775257831</v>
      </c>
      <c r="N13" s="71">
        <f>N55/365*'Income Statement'!M6</f>
        <v>38.939702366922788</v>
      </c>
      <c r="O13" s="71">
        <f>O55/365*'Income Statement'!N6</f>
        <v>40.545421884262986</v>
      </c>
      <c r="P13" s="71">
        <f>P55/365*'Income Statement'!O6</f>
        <v>42.036140707810581</v>
      </c>
      <c r="Q13" s="71">
        <f>Q55/365*'Income Statement'!P6</f>
        <v>43.441261916730255</v>
      </c>
      <c r="R13" s="71">
        <f>R55/365*'Income Statement'!Q6</f>
        <v>44.74449977423216</v>
      </c>
    </row>
    <row r="14" spans="1:18" ht="13.5" customHeight="1" x14ac:dyDescent="0.15">
      <c r="B14" s="112" t="s">
        <v>50</v>
      </c>
      <c r="C14" s="281">
        <v>6.2380000000000004</v>
      </c>
      <c r="D14" s="281">
        <v>6.25</v>
      </c>
      <c r="E14" s="281">
        <v>6.7430000000000003</v>
      </c>
      <c r="F14" s="281">
        <v>7.7279999999999998</v>
      </c>
      <c r="G14" s="281">
        <v>7.1210000000000004</v>
      </c>
      <c r="H14" s="301">
        <f>G14</f>
        <v>7.1210000000000004</v>
      </c>
      <c r="I14" s="71">
        <f>0.01675*'Income Statement'!H6</f>
        <v>7.7428370775000008</v>
      </c>
      <c r="J14" s="71">
        <f>0.01675*'Income Statement'!I6</f>
        <v>8.3934356211750014</v>
      </c>
      <c r="K14" s="71">
        <f>0.01675*'Income Statement'!J6</f>
        <v>9.0672631798722527</v>
      </c>
      <c r="L14" s="71">
        <f>0.01675*'Income Statement'!K6</f>
        <v>9.706607020516838</v>
      </c>
      <c r="M14" s="71">
        <f>0.01675*'Income Statement'!L6</f>
        <v>10.296258574590118</v>
      </c>
      <c r="N14" s="71">
        <f>0.01675*'Income Statement'!M6</f>
        <v>10.821254788444282</v>
      </c>
      <c r="O14" s="71">
        <f>0.01675*'Income Statement'!N6</f>
        <v>11.267480592950582</v>
      </c>
      <c r="P14" s="71">
        <f>0.01675*'Income Statement'!O6</f>
        <v>11.681747966017134</v>
      </c>
      <c r="Q14" s="71">
        <f>0.01675*'Income Statement'!P6</f>
        <v>12.072227956518619</v>
      </c>
      <c r="R14" s="71">
        <f>0.01675*'Income Statement'!Q6</f>
        <v>12.434394795214176</v>
      </c>
    </row>
    <row r="15" spans="1:18" ht="13.5" customHeight="1" x14ac:dyDescent="0.15">
      <c r="B15" s="182" t="s">
        <v>51</v>
      </c>
      <c r="C15" s="110">
        <f t="shared" ref="C15:R15" si="3">C16+C17</f>
        <v>23.43</v>
      </c>
      <c r="D15" s="110">
        <f t="shared" si="3"/>
        <v>23.987000000000002</v>
      </c>
      <c r="E15" s="110">
        <f t="shared" si="3"/>
        <v>24.989000000000001</v>
      </c>
      <c r="F15" s="110">
        <f t="shared" si="3"/>
        <v>38.969000000000001</v>
      </c>
      <c r="G15" s="110">
        <f t="shared" si="3"/>
        <v>43.393000000000001</v>
      </c>
      <c r="H15" s="301">
        <f t="shared" si="3"/>
        <v>43.393000000000001</v>
      </c>
      <c r="I15" s="71">
        <f t="shared" si="3"/>
        <v>43.393000000000001</v>
      </c>
      <c r="J15" s="71">
        <f t="shared" si="3"/>
        <v>43.393000000000001</v>
      </c>
      <c r="K15" s="71">
        <f t="shared" si="3"/>
        <v>43.393000000000001</v>
      </c>
      <c r="L15" s="71">
        <f t="shared" si="3"/>
        <v>43.393000000000001</v>
      </c>
      <c r="M15" s="71">
        <f t="shared" si="3"/>
        <v>43.393000000000001</v>
      </c>
      <c r="N15" s="71">
        <f t="shared" si="3"/>
        <v>43.393000000000001</v>
      </c>
      <c r="O15" s="71">
        <f t="shared" si="3"/>
        <v>43.393000000000001</v>
      </c>
      <c r="P15" s="71">
        <f t="shared" si="3"/>
        <v>43.393000000000001</v>
      </c>
      <c r="Q15" s="71">
        <f t="shared" si="3"/>
        <v>43.393000000000001</v>
      </c>
      <c r="R15" s="71">
        <f t="shared" si="3"/>
        <v>43.393000000000001</v>
      </c>
    </row>
    <row r="16" spans="1:18" ht="13.5" customHeight="1" x14ac:dyDescent="0.15">
      <c r="B16" s="112" t="s">
        <v>52</v>
      </c>
      <c r="C16" s="281">
        <v>2.169</v>
      </c>
      <c r="D16" s="281">
        <v>1.46</v>
      </c>
      <c r="E16" s="281">
        <v>2.383</v>
      </c>
      <c r="F16" s="281">
        <v>1.4490000000000001</v>
      </c>
      <c r="G16" s="281">
        <v>1.012</v>
      </c>
      <c r="H16" s="301">
        <f t="shared" ref="H16:R16" si="4">G16</f>
        <v>1.012</v>
      </c>
      <c r="I16" s="71">
        <f t="shared" si="4"/>
        <v>1.012</v>
      </c>
      <c r="J16" s="71">
        <f t="shared" si="4"/>
        <v>1.012</v>
      </c>
      <c r="K16" s="71">
        <f t="shared" si="4"/>
        <v>1.012</v>
      </c>
      <c r="L16" s="71">
        <f t="shared" si="4"/>
        <v>1.012</v>
      </c>
      <c r="M16" s="71">
        <f t="shared" si="4"/>
        <v>1.012</v>
      </c>
      <c r="N16" s="71">
        <f t="shared" si="4"/>
        <v>1.012</v>
      </c>
      <c r="O16" s="71">
        <f t="shared" si="4"/>
        <v>1.012</v>
      </c>
      <c r="P16" s="71">
        <f t="shared" si="4"/>
        <v>1.012</v>
      </c>
      <c r="Q16" s="71">
        <f t="shared" si="4"/>
        <v>1.012</v>
      </c>
      <c r="R16" s="71">
        <f t="shared" si="4"/>
        <v>1.012</v>
      </c>
    </row>
    <row r="17" spans="1:18" ht="13.5" customHeight="1" x14ac:dyDescent="0.15">
      <c r="B17" s="112" t="s">
        <v>53</v>
      </c>
      <c r="C17" s="281">
        <v>21.260999999999999</v>
      </c>
      <c r="D17" s="281">
        <v>22.527000000000001</v>
      </c>
      <c r="E17" s="281">
        <v>22.606000000000002</v>
      </c>
      <c r="F17" s="281">
        <v>37.520000000000003</v>
      </c>
      <c r="G17" s="281">
        <v>42.381</v>
      </c>
      <c r="H17" s="301">
        <f t="shared" ref="H17:R17" si="5">G17</f>
        <v>42.381</v>
      </c>
      <c r="I17" s="71">
        <f t="shared" si="5"/>
        <v>42.381</v>
      </c>
      <c r="J17" s="71">
        <f t="shared" si="5"/>
        <v>42.381</v>
      </c>
      <c r="K17" s="71">
        <f t="shared" si="5"/>
        <v>42.381</v>
      </c>
      <c r="L17" s="71">
        <f t="shared" si="5"/>
        <v>42.381</v>
      </c>
      <c r="M17" s="71">
        <f t="shared" si="5"/>
        <v>42.381</v>
      </c>
      <c r="N17" s="71">
        <f t="shared" si="5"/>
        <v>42.381</v>
      </c>
      <c r="O17" s="71">
        <f t="shared" si="5"/>
        <v>42.381</v>
      </c>
      <c r="P17" s="71">
        <f t="shared" si="5"/>
        <v>42.381</v>
      </c>
      <c r="Q17" s="71">
        <f t="shared" si="5"/>
        <v>42.381</v>
      </c>
      <c r="R17" s="71">
        <f t="shared" si="5"/>
        <v>42.381</v>
      </c>
    </row>
    <row r="18" spans="1:18" s="114" customFormat="1" ht="12.75" customHeight="1" x14ac:dyDescent="0.15">
      <c r="A18" s="69"/>
      <c r="B18" s="117"/>
      <c r="C18" s="103"/>
      <c r="D18" s="103"/>
      <c r="E18" s="103"/>
      <c r="F18" s="103"/>
      <c r="G18" s="103"/>
      <c r="H18" s="300"/>
      <c r="I18" s="103"/>
      <c r="J18" s="103"/>
      <c r="K18" s="103"/>
      <c r="L18" s="103"/>
      <c r="M18" s="103"/>
      <c r="N18" s="103"/>
      <c r="O18" s="103"/>
      <c r="P18" s="103"/>
      <c r="Q18" s="103"/>
      <c r="R18" s="103"/>
    </row>
    <row r="19" spans="1:18" s="114" customFormat="1" ht="13.5" customHeight="1" x14ac:dyDescent="0.15">
      <c r="A19" s="69"/>
      <c r="B19" s="305" t="s">
        <v>54</v>
      </c>
      <c r="C19" s="306">
        <f>+C8+C10+C15</f>
        <v>107.577</v>
      </c>
      <c r="D19" s="306">
        <f>+D8+D10+D15</f>
        <v>101.75999999999999</v>
      </c>
      <c r="E19" s="306">
        <f>+E8+E10+E15</f>
        <v>104.87299999999999</v>
      </c>
      <c r="F19" s="306">
        <f>+F8+F10+F15</f>
        <v>118.49799999999999</v>
      </c>
      <c r="G19" s="306">
        <f>+G8+G10+G15</f>
        <v>128.18099999999998</v>
      </c>
      <c r="H19" s="307">
        <f t="shared" ref="H19:R19" ca="1" si="6">H8+H9+H10+H15</f>
        <v>3912.6490717948723</v>
      </c>
      <c r="I19" s="306">
        <f t="shared" ca="1" si="6"/>
        <v>4092.6600220245641</v>
      </c>
      <c r="J19" s="306">
        <f t="shared" ca="1" si="6"/>
        <v>4267.0092355024635</v>
      </c>
      <c r="K19" s="306">
        <f t="shared" ca="1" si="6"/>
        <v>4444.5284994277508</v>
      </c>
      <c r="L19" s="306">
        <f t="shared" ca="1" si="6"/>
        <v>4640.3799095162112</v>
      </c>
      <c r="M19" s="306">
        <f t="shared" ca="1" si="6"/>
        <v>4842.0390290706455</v>
      </c>
      <c r="N19" s="306">
        <f t="shared" ca="1" si="6"/>
        <v>5047.5370936231157</v>
      </c>
      <c r="O19" s="306">
        <f t="shared" ca="1" si="6"/>
        <v>5255.1401806708473</v>
      </c>
      <c r="P19" s="306">
        <f t="shared" ca="1" si="6"/>
        <v>5006.6947114508994</v>
      </c>
      <c r="Q19" s="306">
        <f t="shared" ca="1" si="6"/>
        <v>5055.9603139933151</v>
      </c>
      <c r="R19" s="306">
        <f t="shared" ca="1" si="6"/>
        <v>5169.64334708362</v>
      </c>
    </row>
    <row r="20" spans="1:18" ht="13.5" customHeight="1" x14ac:dyDescent="0.15">
      <c r="B20" s="120"/>
      <c r="H20" s="299"/>
    </row>
    <row r="21" spans="1:18" ht="13.5" customHeight="1" x14ac:dyDescent="0.15">
      <c r="B21" s="298" t="s">
        <v>55</v>
      </c>
      <c r="H21" s="299"/>
    </row>
    <row r="22" spans="1:18" ht="12.75" customHeight="1" x14ac:dyDescent="0.15">
      <c r="B22" s="120"/>
      <c r="H22" s="299"/>
    </row>
    <row r="23" spans="1:18" s="114" customFormat="1" ht="13.5" customHeight="1" x14ac:dyDescent="0.15">
      <c r="A23" s="69"/>
      <c r="B23" s="136" t="s">
        <v>56</v>
      </c>
      <c r="C23" s="308">
        <f>C29+C31+C33</f>
        <v>37.045000000000002</v>
      </c>
      <c r="D23" s="308">
        <f>D29+D31+D33</f>
        <v>33.597000000000001</v>
      </c>
      <c r="E23" s="308">
        <f>E29+E31+E33</f>
        <v>35.517000000000003</v>
      </c>
      <c r="F23" s="308">
        <f>F29+F31+F33</f>
        <v>37.636000000000003</v>
      </c>
      <c r="G23" s="308">
        <f>G29+G31+G33</f>
        <v>45.882999999999996</v>
      </c>
      <c r="H23" s="309">
        <f t="shared" ref="H23:R23" si="7">H29+H31+H32+H33</f>
        <v>2408.3150000000001</v>
      </c>
      <c r="I23" s="75">
        <f t="shared" si="7"/>
        <v>2347.3734829671916</v>
      </c>
      <c r="J23" s="75">
        <f t="shared" si="7"/>
        <v>2258.6448635425918</v>
      </c>
      <c r="K23" s="75">
        <f t="shared" si="7"/>
        <v>2149.936342013702</v>
      </c>
      <c r="L23" s="75">
        <f t="shared" si="7"/>
        <v>2038.0738220786147</v>
      </c>
      <c r="M23" s="75">
        <f t="shared" si="7"/>
        <v>1912.4041242617507</v>
      </c>
      <c r="N23" s="75">
        <f t="shared" si="7"/>
        <v>1773.8831933009919</v>
      </c>
      <c r="O23" s="75">
        <f t="shared" si="7"/>
        <v>1623.2813003041756</v>
      </c>
      <c r="P23" s="75">
        <f t="shared" si="7"/>
        <v>1003.4608584332349</v>
      </c>
      <c r="Q23" s="75">
        <f t="shared" si="7"/>
        <v>668.93772146244703</v>
      </c>
      <c r="R23" s="75">
        <f t="shared" si="7"/>
        <v>387.31835285415264</v>
      </c>
    </row>
    <row r="24" spans="1:18" ht="12.75" customHeight="1" x14ac:dyDescent="0.15">
      <c r="B24" s="120" t="s">
        <v>57</v>
      </c>
      <c r="C24" s="75">
        <v>0</v>
      </c>
      <c r="D24" s="75">
        <v>0</v>
      </c>
      <c r="E24" s="75">
        <v>0</v>
      </c>
      <c r="F24" s="75">
        <v>0</v>
      </c>
      <c r="G24" s="75">
        <v>0</v>
      </c>
      <c r="H24" s="301">
        <v>0</v>
      </c>
      <c r="I24" s="282">
        <v>0</v>
      </c>
      <c r="J24" s="282">
        <v>0</v>
      </c>
      <c r="K24" s="282">
        <v>0</v>
      </c>
      <c r="L24" s="282">
        <v>0</v>
      </c>
      <c r="M24" s="282">
        <v>0</v>
      </c>
      <c r="N24" s="282">
        <v>0</v>
      </c>
      <c r="O24" s="282">
        <v>0</v>
      </c>
      <c r="P24" s="282">
        <v>0</v>
      </c>
      <c r="Q24" s="282">
        <v>0</v>
      </c>
      <c r="R24" s="282">
        <v>0</v>
      </c>
    </row>
    <row r="25" spans="1:18" ht="13.5" customHeight="1" x14ac:dyDescent="0.15">
      <c r="B25" s="120" t="s">
        <v>58</v>
      </c>
      <c r="C25" s="71">
        <v>2.177</v>
      </c>
      <c r="D25" s="71">
        <v>2.327</v>
      </c>
      <c r="E25" s="71">
        <v>2.2909999999999999</v>
      </c>
      <c r="F25" s="71">
        <v>2.4969999999999999</v>
      </c>
      <c r="G25" s="71">
        <v>3.5619999999999998</v>
      </c>
      <c r="H25" s="301">
        <v>0</v>
      </c>
      <c r="I25" s="282">
        <v>0</v>
      </c>
      <c r="J25" s="282">
        <v>0</v>
      </c>
      <c r="K25" s="282">
        <v>0</v>
      </c>
      <c r="L25" s="282">
        <v>0</v>
      </c>
      <c r="M25" s="282">
        <v>0</v>
      </c>
      <c r="N25" s="282">
        <v>0</v>
      </c>
      <c r="O25" s="282">
        <v>0</v>
      </c>
      <c r="P25" s="282">
        <v>0</v>
      </c>
      <c r="Q25" s="282">
        <v>0</v>
      </c>
      <c r="R25" s="282">
        <v>0</v>
      </c>
    </row>
    <row r="26" spans="1:18" ht="12.75" customHeight="1" x14ac:dyDescent="0.15">
      <c r="B26" s="120" t="s">
        <v>59</v>
      </c>
      <c r="C26" s="281">
        <v>3.056</v>
      </c>
      <c r="D26" s="281">
        <v>1.155</v>
      </c>
      <c r="E26" s="281">
        <v>2.0569999999999999</v>
      </c>
      <c r="F26" s="281">
        <v>1.3260000000000001</v>
      </c>
      <c r="G26" s="281">
        <v>1.8260000000000001</v>
      </c>
      <c r="H26" s="301">
        <f>G26</f>
        <v>1.8260000000000001</v>
      </c>
      <c r="I26" s="282">
        <f>I56/365*-'Income Statement'!H22</f>
        <v>1.8680326623287671</v>
      </c>
      <c r="J26" s="282">
        <f>J56/365*-'Income Statement'!I22</f>
        <v>1.9906737519041098</v>
      </c>
      <c r="K26" s="282">
        <f>K56/365*-'Income Statement'!J22</f>
        <v>2.1134083060834934</v>
      </c>
      <c r="L26" s="282">
        <f>L56/365*-'Income Statement'!K22</f>
        <v>2.2386122917896119</v>
      </c>
      <c r="M26" s="282">
        <f>M56/365*-'Income Statement'!L22</f>
        <v>2.357761112970953</v>
      </c>
      <c r="N26" s="282">
        <f>N56/365*-'Income Statement'!M22</f>
        <v>2.4779810597132688</v>
      </c>
      <c r="O26" s="282">
        <f>O56/365*-'Income Statement'!N22</f>
        <v>2.5801632108167354</v>
      </c>
      <c r="P26" s="282">
        <f>P56/365*-'Income Statement'!O22</f>
        <v>2.6750271359515825</v>
      </c>
      <c r="Q26" s="282">
        <f>Q56/365*-'Income Statement'!P22</f>
        <v>2.7644439401555618</v>
      </c>
      <c r="R26" s="282">
        <f>R56/365*-'Income Statement'!Q22</f>
        <v>2.8473772583602286</v>
      </c>
    </row>
    <row r="27" spans="1:18" ht="13.5" customHeight="1" x14ac:dyDescent="0.15">
      <c r="B27" s="136" t="s">
        <v>60</v>
      </c>
      <c r="C27" s="110">
        <v>10.974</v>
      </c>
      <c r="D27" s="110">
        <v>12.288</v>
      </c>
      <c r="E27" s="110">
        <v>13.507999999999999</v>
      </c>
      <c r="F27" s="110">
        <v>13.407</v>
      </c>
      <c r="G27" s="110">
        <v>16.736999999999998</v>
      </c>
      <c r="H27" s="309">
        <f>G27</f>
        <v>16.736999999999998</v>
      </c>
      <c r="I27" s="71">
        <f>0.039369*'Income Statement'!H6</f>
        <v>18.198671815170002</v>
      </c>
      <c r="J27" s="71">
        <f>0.039369*'Income Statement'!I6</f>
        <v>19.727830863882904</v>
      </c>
      <c r="K27" s="71">
        <f>0.039369*'Income Statement'!J6</f>
        <v>21.311587112142728</v>
      </c>
      <c r="L27" s="71">
        <f>0.039369*'Income Statement'!K6</f>
        <v>22.814293241237454</v>
      </c>
      <c r="M27" s="71">
        <f>0.039369*'Income Statement'!L6</f>
        <v>24.200203213315721</v>
      </c>
      <c r="N27" s="71">
        <f>0.039369*'Income Statement'!M6</f>
        <v>25.43414804574704</v>
      </c>
      <c r="O27" s="71">
        <f>0.039369*'Income Statement'!N6</f>
        <v>26.482951848589341</v>
      </c>
      <c r="P27" s="71">
        <f>0.039369*'Income Statement'!O6</f>
        <v>27.456640935768871</v>
      </c>
      <c r="Q27" s="71">
        <f>0.039369*'Income Statement'!P6</f>
        <v>28.374420442995909</v>
      </c>
      <c r="R27" s="71">
        <f>0.039369*'Income Statement'!Q6</f>
        <v>29.225653056285786</v>
      </c>
    </row>
    <row r="28" spans="1:18" ht="12.75" customHeight="1" x14ac:dyDescent="0.15">
      <c r="B28" s="120" t="s">
        <v>61</v>
      </c>
      <c r="C28" s="71">
        <v>11.420999999999999</v>
      </c>
      <c r="D28" s="71">
        <v>9.7560000000000002</v>
      </c>
      <c r="E28" s="71">
        <v>11.708</v>
      </c>
      <c r="F28" s="71">
        <v>15.471</v>
      </c>
      <c r="G28" s="71">
        <v>18.419</v>
      </c>
      <c r="H28" s="301">
        <f>G28</f>
        <v>18.419</v>
      </c>
      <c r="I28" s="282">
        <f>0.043326*'Income Statement'!H6</f>
        <v>20.027830401180001</v>
      </c>
      <c r="J28" s="282">
        <f>0.043326*'Income Statement'!I6</f>
        <v>21.710686073016607</v>
      </c>
      <c r="K28" s="282">
        <f>0.043326*'Income Statement'!J6</f>
        <v>23.453626539172848</v>
      </c>
      <c r="L28" s="282">
        <f>0.043326*'Income Statement'!K6</f>
        <v>25.107370493785822</v>
      </c>
      <c r="M28" s="282">
        <f>0.043326*'Income Statement'!L6</f>
        <v>26.632579044936801</v>
      </c>
      <c r="N28" s="282">
        <f>0.043326*'Income Statement'!M6</f>
        <v>27.99054835606788</v>
      </c>
      <c r="O28" s="282">
        <f>0.043326*'Income Statement'!N6</f>
        <v>29.144768010159819</v>
      </c>
      <c r="P28" s="282">
        <f>0.043326*'Income Statement'!O6</f>
        <v>30.216323126904978</v>
      </c>
      <c r="Q28" s="282">
        <f>0.043326*'Income Statement'!P6</f>
        <v>31.226349160843323</v>
      </c>
      <c r="R28" s="282">
        <f>0.043326*'Income Statement'!Q6</f>
        <v>32.163139635668621</v>
      </c>
    </row>
    <row r="29" spans="1:18" s="114" customFormat="1" ht="12.75" customHeight="1" x14ac:dyDescent="0.15">
      <c r="A29" s="69"/>
      <c r="B29" s="111" t="s">
        <v>62</v>
      </c>
      <c r="C29" s="110">
        <v>27.628</v>
      </c>
      <c r="D29" s="110">
        <v>25.526</v>
      </c>
      <c r="E29" s="110">
        <v>29.564</v>
      </c>
      <c r="F29" s="110">
        <v>32.701000000000001</v>
      </c>
      <c r="G29" s="110">
        <v>40.543999999999997</v>
      </c>
      <c r="H29" s="304">
        <f t="shared" ref="H29:R29" si="8">H24+H25+H26+H27+H28</f>
        <v>36.981999999999999</v>
      </c>
      <c r="I29" s="78">
        <f t="shared" si="8"/>
        <v>40.094534878678772</v>
      </c>
      <c r="J29" s="78">
        <f t="shared" si="8"/>
        <v>43.429190688803615</v>
      </c>
      <c r="K29" s="78">
        <f t="shared" si="8"/>
        <v>46.878621957399069</v>
      </c>
      <c r="L29" s="78">
        <f t="shared" si="8"/>
        <v>50.160276026812888</v>
      </c>
      <c r="M29" s="78">
        <f t="shared" si="8"/>
        <v>53.19054337122347</v>
      </c>
      <c r="N29" s="78">
        <f t="shared" si="8"/>
        <v>55.902677461528185</v>
      </c>
      <c r="O29" s="78">
        <f t="shared" si="8"/>
        <v>58.207883069565895</v>
      </c>
      <c r="P29" s="78">
        <f t="shared" si="8"/>
        <v>60.347991198625436</v>
      </c>
      <c r="Q29" s="78">
        <f t="shared" si="8"/>
        <v>62.365213543994798</v>
      </c>
      <c r="R29" s="78">
        <f t="shared" si="8"/>
        <v>64.236169950314633</v>
      </c>
    </row>
    <row r="30" spans="1:18" s="114" customFormat="1" ht="13.5" customHeight="1" x14ac:dyDescent="0.15">
      <c r="A30" s="69"/>
      <c r="B30" s="112"/>
      <c r="C30" s="103"/>
      <c r="D30" s="103"/>
      <c r="E30" s="103"/>
      <c r="F30" s="103"/>
      <c r="G30" s="103"/>
      <c r="H30" s="301"/>
      <c r="I30" s="71"/>
      <c r="J30" s="71"/>
      <c r="K30" s="71"/>
      <c r="L30" s="71"/>
      <c r="M30" s="71"/>
      <c r="N30" s="71"/>
      <c r="O30" s="71"/>
      <c r="P30" s="71"/>
      <c r="Q30" s="71"/>
      <c r="R30" s="71"/>
    </row>
    <row r="31" spans="1:18" ht="12.75" customHeight="1" x14ac:dyDescent="0.15">
      <c r="B31" s="120" t="s">
        <v>63</v>
      </c>
      <c r="C31" s="281">
        <v>8.8320000000000007</v>
      </c>
      <c r="D31" s="281">
        <v>7.242</v>
      </c>
      <c r="E31" s="281">
        <v>5.1120000000000001</v>
      </c>
      <c r="F31" s="281">
        <v>3.665</v>
      </c>
      <c r="G31" s="281">
        <v>3.6219999999999999</v>
      </c>
      <c r="H31" s="301">
        <f>'LBO Modelling'!D8</f>
        <v>2369.616</v>
      </c>
      <c r="I31" s="282">
        <f>'LBO Modelling'!C80</f>
        <v>2305.561948088513</v>
      </c>
      <c r="J31" s="282">
        <f>'LBO Modelling'!D80</f>
        <v>2213.4986728537879</v>
      </c>
      <c r="K31" s="282">
        <f>'LBO Modelling'!E80</f>
        <v>2101.3407200563029</v>
      </c>
      <c r="L31" s="282">
        <f>'LBO Modelling'!F80</f>
        <v>1986.1965460518018</v>
      </c>
      <c r="M31" s="282">
        <f>'LBO Modelling'!G80</f>
        <v>1857.4965808905272</v>
      </c>
      <c r="N31" s="282">
        <f>'LBO Modelling'!H80</f>
        <v>1716.2635158394637</v>
      </c>
      <c r="O31" s="282">
        <f>'LBO Modelling'!I80</f>
        <v>1563.3564172346096</v>
      </c>
      <c r="P31" s="282">
        <f>'LBO Modelling'!J80</f>
        <v>941.39586723460945</v>
      </c>
      <c r="Q31" s="282">
        <f>'LBO Modelling'!K80</f>
        <v>604.8555079184523</v>
      </c>
      <c r="R31" s="282">
        <f>'LBO Modelling'!L80</f>
        <v>321.36518290383799</v>
      </c>
    </row>
    <row r="32" spans="1:18" ht="13.5" customHeight="1" x14ac:dyDescent="0.15">
      <c r="B32" s="110" t="s">
        <v>64</v>
      </c>
      <c r="C32" s="110">
        <v>0</v>
      </c>
      <c r="D32" s="110">
        <v>0</v>
      </c>
      <c r="E32" s="110">
        <v>0</v>
      </c>
      <c r="F32" s="110">
        <v>0</v>
      </c>
      <c r="G32" s="110">
        <v>0</v>
      </c>
      <c r="H32" s="301">
        <v>0</v>
      </c>
      <c r="I32" s="282">
        <v>0</v>
      </c>
      <c r="J32" s="282">
        <v>0</v>
      </c>
      <c r="K32" s="282">
        <v>0</v>
      </c>
      <c r="L32" s="282">
        <v>0</v>
      </c>
      <c r="M32" s="282">
        <v>0</v>
      </c>
      <c r="N32" s="282">
        <v>0</v>
      </c>
      <c r="O32" s="282">
        <v>0</v>
      </c>
      <c r="P32" s="282">
        <v>0</v>
      </c>
      <c r="Q32" s="282">
        <v>0</v>
      </c>
      <c r="R32" s="282">
        <v>0</v>
      </c>
    </row>
    <row r="33" spans="1:18" s="311" customFormat="1" ht="13.5" customHeight="1" x14ac:dyDescent="0.15">
      <c r="A33" s="310"/>
      <c r="B33" s="311" t="s">
        <v>65</v>
      </c>
      <c r="C33" s="110">
        <v>0.58499999999999996</v>
      </c>
      <c r="D33" s="110">
        <v>0.82899999999999996</v>
      </c>
      <c r="E33" s="110">
        <v>0.84099999999999997</v>
      </c>
      <c r="F33" s="110">
        <v>1.27</v>
      </c>
      <c r="G33" s="110">
        <v>1.7170000000000001</v>
      </c>
      <c r="H33" s="301">
        <f t="shared" ref="H33:R33" si="9">G33</f>
        <v>1.7170000000000001</v>
      </c>
      <c r="I33" s="282">
        <f t="shared" si="9"/>
        <v>1.7170000000000001</v>
      </c>
      <c r="J33" s="282">
        <f t="shared" si="9"/>
        <v>1.7170000000000001</v>
      </c>
      <c r="K33" s="282">
        <f t="shared" si="9"/>
        <v>1.7170000000000001</v>
      </c>
      <c r="L33" s="282">
        <f t="shared" si="9"/>
        <v>1.7170000000000001</v>
      </c>
      <c r="M33" s="282">
        <f t="shared" si="9"/>
        <v>1.7170000000000001</v>
      </c>
      <c r="N33" s="282">
        <f t="shared" si="9"/>
        <v>1.7170000000000001</v>
      </c>
      <c r="O33" s="282">
        <f t="shared" si="9"/>
        <v>1.7170000000000001</v>
      </c>
      <c r="P33" s="282">
        <f t="shared" si="9"/>
        <v>1.7170000000000001</v>
      </c>
      <c r="Q33" s="282">
        <f t="shared" si="9"/>
        <v>1.7170000000000001</v>
      </c>
      <c r="R33" s="282">
        <f t="shared" si="9"/>
        <v>1.7170000000000001</v>
      </c>
    </row>
    <row r="34" spans="1:18" ht="12.75" customHeight="1" x14ac:dyDescent="0.15">
      <c r="B34" s="110"/>
      <c r="H34" s="299"/>
    </row>
    <row r="35" spans="1:18" ht="12.75" customHeight="1" x14ac:dyDescent="0.15">
      <c r="B35" s="110" t="s">
        <v>66</v>
      </c>
      <c r="C35" s="110">
        <v>0</v>
      </c>
      <c r="D35" s="110">
        <v>0</v>
      </c>
      <c r="E35" s="110">
        <v>0</v>
      </c>
      <c r="F35" s="110">
        <v>0</v>
      </c>
      <c r="G35" s="110">
        <v>0</v>
      </c>
      <c r="H35" s="301">
        <v>0</v>
      </c>
      <c r="I35" s="282">
        <v>0</v>
      </c>
      <c r="J35" s="282">
        <v>0</v>
      </c>
      <c r="K35" s="282">
        <v>0</v>
      </c>
      <c r="L35" s="282">
        <v>0</v>
      </c>
      <c r="M35" s="282">
        <v>0</v>
      </c>
      <c r="N35" s="282">
        <v>0</v>
      </c>
      <c r="O35" s="282">
        <v>0</v>
      </c>
      <c r="P35" s="282">
        <v>0</v>
      </c>
      <c r="Q35" s="282">
        <v>0</v>
      </c>
      <c r="R35" s="282">
        <v>0</v>
      </c>
    </row>
    <row r="36" spans="1:18" ht="12.75" customHeight="1" x14ac:dyDescent="0.15">
      <c r="B36" s="110" t="s">
        <v>67</v>
      </c>
      <c r="C36" s="110">
        <v>0</v>
      </c>
      <c r="D36" s="110">
        <v>0</v>
      </c>
      <c r="E36" s="110">
        <v>0</v>
      </c>
      <c r="F36" s="110">
        <v>0</v>
      </c>
      <c r="G36" s="110">
        <v>0</v>
      </c>
      <c r="H36" s="301">
        <v>0</v>
      </c>
      <c r="I36" s="282">
        <v>0</v>
      </c>
      <c r="J36" s="282">
        <v>0</v>
      </c>
      <c r="K36" s="282">
        <v>0</v>
      </c>
      <c r="L36" s="282">
        <v>0</v>
      </c>
      <c r="M36" s="282">
        <v>0</v>
      </c>
      <c r="N36" s="282">
        <v>0</v>
      </c>
      <c r="O36" s="282">
        <v>0</v>
      </c>
      <c r="P36" s="282">
        <v>0</v>
      </c>
      <c r="Q36" s="282">
        <v>0</v>
      </c>
      <c r="R36" s="282">
        <v>0</v>
      </c>
    </row>
    <row r="37" spans="1:18" ht="12.75" customHeight="1" x14ac:dyDescent="0.15">
      <c r="B37" s="110"/>
      <c r="H37" s="299"/>
    </row>
    <row r="38" spans="1:18" s="114" customFormat="1" ht="12.75" customHeight="1" x14ac:dyDescent="0.15">
      <c r="A38" s="69"/>
      <c r="B38" s="114" t="s">
        <v>68</v>
      </c>
      <c r="C38" s="110">
        <v>0</v>
      </c>
      <c r="D38" s="110">
        <v>0</v>
      </c>
      <c r="E38" s="110">
        <v>0</v>
      </c>
      <c r="F38" s="110">
        <v>0</v>
      </c>
      <c r="G38" s="110">
        <v>0</v>
      </c>
      <c r="H38" s="301">
        <v>0</v>
      </c>
      <c r="I38" s="282">
        <v>0</v>
      </c>
      <c r="J38" s="282">
        <v>0</v>
      </c>
      <c r="K38" s="282">
        <v>0</v>
      </c>
      <c r="L38" s="282">
        <v>0</v>
      </c>
      <c r="M38" s="282">
        <v>0</v>
      </c>
      <c r="N38" s="282">
        <v>0</v>
      </c>
      <c r="O38" s="282">
        <v>0</v>
      </c>
      <c r="P38" s="282">
        <v>0</v>
      </c>
      <c r="Q38" s="282">
        <v>0</v>
      </c>
      <c r="R38" s="282">
        <v>0</v>
      </c>
    </row>
    <row r="39" spans="1:18" s="114" customFormat="1" ht="12.75" customHeight="1" x14ac:dyDescent="0.15">
      <c r="A39" s="69"/>
      <c r="B39" s="114" t="s">
        <v>69</v>
      </c>
      <c r="C39" s="114">
        <v>0</v>
      </c>
      <c r="D39" s="114">
        <v>0</v>
      </c>
      <c r="E39" s="114">
        <v>0</v>
      </c>
      <c r="F39" s="114">
        <v>0</v>
      </c>
      <c r="G39" s="114">
        <v>0</v>
      </c>
      <c r="H39" s="301">
        <v>0</v>
      </c>
      <c r="I39" s="282">
        <v>0</v>
      </c>
      <c r="J39" s="282">
        <v>0</v>
      </c>
      <c r="K39" s="282">
        <v>0</v>
      </c>
      <c r="L39" s="282">
        <v>0</v>
      </c>
      <c r="M39" s="282">
        <v>0</v>
      </c>
      <c r="N39" s="282">
        <v>0</v>
      </c>
      <c r="O39" s="282">
        <v>0</v>
      </c>
      <c r="P39" s="282">
        <v>0</v>
      </c>
      <c r="Q39" s="282">
        <v>0</v>
      </c>
      <c r="R39" s="282">
        <v>0</v>
      </c>
    </row>
    <row r="40" spans="1:18" ht="12.75" customHeight="1" x14ac:dyDescent="0.15">
      <c r="B40" s="110" t="s">
        <v>70</v>
      </c>
      <c r="C40" s="114">
        <v>0.86</v>
      </c>
      <c r="D40" s="114">
        <v>0.83799999999999997</v>
      </c>
      <c r="E40" s="114">
        <v>0.81399999999999995</v>
      </c>
      <c r="F40" s="114">
        <v>0.79500000000000004</v>
      </c>
      <c r="G40" s="114">
        <v>0.77400000000000002</v>
      </c>
      <c r="H40" s="301">
        <f ca="1">'LBO Modelling'!D12</f>
        <v>1504.3340717948722</v>
      </c>
      <c r="I40" s="282">
        <f t="shared" ref="I40:R40" ca="1" si="10">H40</f>
        <v>1504.3340717948722</v>
      </c>
      <c r="J40" s="282">
        <f t="shared" ca="1" si="10"/>
        <v>1504.3340717948722</v>
      </c>
      <c r="K40" s="282">
        <f t="shared" ca="1" si="10"/>
        <v>1504.3340717948722</v>
      </c>
      <c r="L40" s="282">
        <f t="shared" ca="1" si="10"/>
        <v>1504.3340717948722</v>
      </c>
      <c r="M40" s="282">
        <f t="shared" ca="1" si="10"/>
        <v>1504.3340717948722</v>
      </c>
      <c r="N40" s="282">
        <f t="shared" ca="1" si="10"/>
        <v>1504.3340717948722</v>
      </c>
      <c r="O40" s="282">
        <f t="shared" ca="1" si="10"/>
        <v>1504.3340717948722</v>
      </c>
      <c r="P40" s="282">
        <f t="shared" ca="1" si="10"/>
        <v>1504.3340717948722</v>
      </c>
      <c r="Q40" s="282">
        <f t="shared" ca="1" si="10"/>
        <v>1504.3340717948722</v>
      </c>
      <c r="R40" s="282">
        <f t="shared" ca="1" si="10"/>
        <v>1504.3340717948722</v>
      </c>
    </row>
    <row r="41" spans="1:18" ht="12.75" customHeight="1" x14ac:dyDescent="0.15">
      <c r="B41" s="110" t="s">
        <v>71</v>
      </c>
      <c r="C41" s="110">
        <v>69.099999999999994</v>
      </c>
      <c r="D41" s="110">
        <v>66.730999999999995</v>
      </c>
      <c r="E41" s="110">
        <v>67.924000000000007</v>
      </c>
      <c r="F41" s="110">
        <v>79.430000000000007</v>
      </c>
      <c r="G41" s="110">
        <v>101.67</v>
      </c>
      <c r="H41" s="301">
        <v>0</v>
      </c>
      <c r="I41" s="282">
        <f>H41+'Income Statement'!H43</f>
        <v>240.95246726249997</v>
      </c>
      <c r="J41" s="282">
        <f>I41+'Income Statement'!I43</f>
        <v>504.03030016500003</v>
      </c>
      <c r="K41" s="282">
        <f>J41+'Income Statement'!J43</f>
        <v>790.25808561917643</v>
      </c>
      <c r="L41" s="282">
        <f>K41+'Income Statement'!K43</f>
        <v>1097.9720156427252</v>
      </c>
      <c r="M41" s="282">
        <f>L41+'Income Statement'!L43</f>
        <v>1425.3008330140228</v>
      </c>
      <c r="N41" s="282">
        <f>M41+'Income Statement'!M43</f>
        <v>1769.3198285272515</v>
      </c>
      <c r="O41" s="282">
        <f>N41+'Income Statement'!N43</f>
        <v>2127.5248085717999</v>
      </c>
      <c r="P41" s="282">
        <f>O41+'Income Statement'!O43</f>
        <v>2498.8997812227926</v>
      </c>
      <c r="Q41" s="282">
        <f>P41+'Income Statement'!P43</f>
        <v>2882.6885207359965</v>
      </c>
      <c r="R41" s="282">
        <f>Q41+'Income Statement'!Q43</f>
        <v>3277.9909224345965</v>
      </c>
    </row>
    <row r="42" spans="1:18" ht="12.75" customHeight="1" x14ac:dyDescent="0.15">
      <c r="B42" s="110" t="s">
        <v>72</v>
      </c>
      <c r="C42" s="110">
        <v>0</v>
      </c>
      <c r="D42" s="110">
        <v>0</v>
      </c>
      <c r="E42" s="110">
        <v>0</v>
      </c>
      <c r="F42" s="110">
        <v>0</v>
      </c>
      <c r="G42" s="110">
        <v>-20.803999999999998</v>
      </c>
      <c r="H42" s="301">
        <v>0</v>
      </c>
      <c r="I42" s="282">
        <v>0</v>
      </c>
      <c r="J42" s="282">
        <v>0</v>
      </c>
      <c r="K42" s="282">
        <v>0</v>
      </c>
      <c r="L42" s="282">
        <v>0</v>
      </c>
      <c r="M42" s="282">
        <v>0</v>
      </c>
      <c r="N42" s="282">
        <v>0</v>
      </c>
      <c r="O42" s="282">
        <v>0</v>
      </c>
      <c r="P42" s="282">
        <v>0</v>
      </c>
      <c r="Q42" s="282">
        <v>0</v>
      </c>
      <c r="R42" s="282">
        <v>0</v>
      </c>
    </row>
    <row r="43" spans="1:18" ht="13.5" customHeight="1" x14ac:dyDescent="0.15">
      <c r="B43" s="110" t="s">
        <v>73</v>
      </c>
      <c r="C43" s="110">
        <v>0.57200000000000295</v>
      </c>
      <c r="D43" s="110">
        <v>0.59400000000000797</v>
      </c>
      <c r="E43" s="110">
        <v>0.617999999999995</v>
      </c>
      <c r="F43" s="110">
        <v>0.63699999999998602</v>
      </c>
      <c r="G43" s="110">
        <v>0.65800000000000103</v>
      </c>
      <c r="H43" s="301">
        <v>0</v>
      </c>
      <c r="I43" s="282">
        <v>0</v>
      </c>
      <c r="J43" s="282">
        <v>0</v>
      </c>
      <c r="K43" s="282">
        <v>0</v>
      </c>
      <c r="L43" s="282">
        <v>0</v>
      </c>
      <c r="M43" s="282">
        <v>0</v>
      </c>
      <c r="N43" s="282">
        <v>0</v>
      </c>
      <c r="O43" s="282">
        <v>0</v>
      </c>
      <c r="P43" s="282">
        <v>0</v>
      </c>
      <c r="Q43" s="282">
        <v>0</v>
      </c>
      <c r="R43" s="282">
        <v>0</v>
      </c>
    </row>
    <row r="44" spans="1:18" ht="12.75" customHeight="1" x14ac:dyDescent="0.15">
      <c r="B44" s="110" t="s">
        <v>74</v>
      </c>
      <c r="C44" s="110">
        <v>70.531999999999996</v>
      </c>
      <c r="D44" s="110">
        <v>68.162999999999997</v>
      </c>
      <c r="E44" s="110">
        <v>69.355999999999995</v>
      </c>
      <c r="F44" s="110">
        <v>80.861999999999995</v>
      </c>
      <c r="G44" s="110">
        <v>82.298000000000002</v>
      </c>
      <c r="H44" s="301">
        <f t="shared" ref="H44:R44" ca="1" si="11">H35+H36+H38+H39+H40+H41+H42+H43</f>
        <v>1504.3340717948722</v>
      </c>
      <c r="I44" s="282">
        <f t="shared" ca="1" si="11"/>
        <v>1745.2865390573722</v>
      </c>
      <c r="J44" s="282">
        <f t="shared" ca="1" si="11"/>
        <v>2008.3643719598722</v>
      </c>
      <c r="K44" s="282">
        <f t="shared" ca="1" si="11"/>
        <v>2294.5921574140484</v>
      </c>
      <c r="L44" s="282">
        <f t="shared" ca="1" si="11"/>
        <v>2602.3060874375974</v>
      </c>
      <c r="M44" s="282">
        <f t="shared" ca="1" si="11"/>
        <v>2929.634904808895</v>
      </c>
      <c r="N44" s="282">
        <f t="shared" ca="1" si="11"/>
        <v>3273.6539003221237</v>
      </c>
      <c r="O44" s="282">
        <f t="shared" ca="1" si="11"/>
        <v>3631.8588803666721</v>
      </c>
      <c r="P44" s="282">
        <f t="shared" ca="1" si="11"/>
        <v>4003.2338530176648</v>
      </c>
      <c r="Q44" s="282">
        <f t="shared" ca="1" si="11"/>
        <v>4387.0225925308687</v>
      </c>
      <c r="R44" s="282">
        <f t="shared" ca="1" si="11"/>
        <v>4782.3249942294688</v>
      </c>
    </row>
    <row r="45" spans="1:18" ht="12.75" customHeight="1" x14ac:dyDescent="0.15">
      <c r="B45" s="110"/>
      <c r="H45" s="299"/>
    </row>
    <row r="46" spans="1:18" ht="13.5" customHeight="1" x14ac:dyDescent="0.15">
      <c r="B46" s="305" t="s">
        <v>75</v>
      </c>
      <c r="C46" s="306">
        <f>+C23+C44</f>
        <v>107.577</v>
      </c>
      <c r="D46" s="306">
        <f>+D23+D44</f>
        <v>101.75999999999999</v>
      </c>
      <c r="E46" s="306">
        <f>+E23+E44</f>
        <v>104.87299999999999</v>
      </c>
      <c r="F46" s="306">
        <f>+F23+F44</f>
        <v>118.49799999999999</v>
      </c>
      <c r="G46" s="306">
        <f>+G23+G44</f>
        <v>128.18099999999998</v>
      </c>
      <c r="H46" s="307">
        <f t="shared" ref="H46:R46" ca="1" si="12">H23+H44</f>
        <v>3912.6490717948723</v>
      </c>
      <c r="I46" s="306">
        <f t="shared" ca="1" si="12"/>
        <v>4092.6600220245637</v>
      </c>
      <c r="J46" s="306">
        <f t="shared" ca="1" si="12"/>
        <v>4267.0092355024644</v>
      </c>
      <c r="K46" s="306">
        <f t="shared" ca="1" si="12"/>
        <v>4444.5284994277499</v>
      </c>
      <c r="L46" s="306">
        <f t="shared" ca="1" si="12"/>
        <v>4640.3799095162121</v>
      </c>
      <c r="M46" s="306">
        <f t="shared" ca="1" si="12"/>
        <v>4842.0390290706455</v>
      </c>
      <c r="N46" s="306">
        <f t="shared" ca="1" si="12"/>
        <v>5047.5370936231157</v>
      </c>
      <c r="O46" s="306">
        <f t="shared" ca="1" si="12"/>
        <v>5255.1401806708473</v>
      </c>
      <c r="P46" s="306">
        <f t="shared" ca="1" si="12"/>
        <v>5006.6947114508994</v>
      </c>
      <c r="Q46" s="306">
        <f t="shared" ca="1" si="12"/>
        <v>5055.960313993316</v>
      </c>
      <c r="R46" s="306">
        <f t="shared" ca="1" si="12"/>
        <v>5169.6433470836218</v>
      </c>
    </row>
    <row r="47" spans="1:18" ht="13.5" customHeight="1" x14ac:dyDescent="0.15">
      <c r="B47" s="312" t="s">
        <v>76</v>
      </c>
      <c r="C47" s="313">
        <f>+C19-C46</f>
        <v>0</v>
      </c>
      <c r="D47" s="313">
        <f>+D19-D46</f>
        <v>0</v>
      </c>
      <c r="E47" s="313">
        <f>+E19-E46</f>
        <v>0</v>
      </c>
      <c r="F47" s="313">
        <f>+F19-F46</f>
        <v>0</v>
      </c>
      <c r="G47" s="313">
        <f>+G19-G46</f>
        <v>0</v>
      </c>
      <c r="H47" s="313">
        <f t="shared" ref="H47:R47" ca="1" si="13">H19-H46</f>
        <v>0</v>
      </c>
      <c r="I47" s="313">
        <f t="shared" ca="1" si="13"/>
        <v>0</v>
      </c>
      <c r="J47" s="313">
        <f t="shared" ca="1" si="13"/>
        <v>0</v>
      </c>
      <c r="K47" s="313">
        <f t="shared" ca="1" si="13"/>
        <v>0</v>
      </c>
      <c r="L47" s="313">
        <f t="shared" ca="1" si="13"/>
        <v>0</v>
      </c>
      <c r="M47" s="313">
        <f t="shared" ca="1" si="13"/>
        <v>0</v>
      </c>
      <c r="N47" s="313">
        <f t="shared" ca="1" si="13"/>
        <v>0</v>
      </c>
      <c r="O47" s="313">
        <f t="shared" ca="1" si="13"/>
        <v>0</v>
      </c>
      <c r="P47" s="313">
        <f t="shared" ca="1" si="13"/>
        <v>0</v>
      </c>
      <c r="Q47" s="313">
        <f t="shared" ca="1" si="13"/>
        <v>0</v>
      </c>
      <c r="R47" s="313">
        <f t="shared" ca="1" si="13"/>
        <v>0</v>
      </c>
    </row>
    <row r="48" spans="1:18" ht="12.75" customHeight="1" x14ac:dyDescent="0.15">
      <c r="B48" s="120"/>
    </row>
    <row r="49" spans="1:18" s="114" customFormat="1" ht="12.75" customHeight="1" x14ac:dyDescent="0.15">
      <c r="A49" s="69"/>
      <c r="B49" s="314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</row>
    <row r="50" spans="1:18" s="114" customFormat="1" ht="12.75" customHeight="1" x14ac:dyDescent="0.15">
      <c r="A50" s="69"/>
      <c r="B50" s="314"/>
      <c r="C50" s="110"/>
      <c r="D50" s="103"/>
      <c r="E50" s="103"/>
      <c r="F50" s="103"/>
      <c r="G50" s="103"/>
      <c r="H50" s="103"/>
      <c r="I50" s="110"/>
      <c r="J50" s="110"/>
      <c r="K50" s="110"/>
      <c r="L50" s="110"/>
      <c r="M50" s="110"/>
      <c r="N50" s="110"/>
      <c r="O50" s="110"/>
      <c r="P50" s="110"/>
      <c r="Q50" s="110"/>
      <c r="R50" s="110"/>
    </row>
    <row r="51" spans="1:18" ht="12.75" customHeight="1" x14ac:dyDescent="0.15">
      <c r="B51" s="117"/>
      <c r="C51" s="103"/>
      <c r="D51" s="103"/>
      <c r="E51" s="103"/>
      <c r="F51" s="103"/>
      <c r="G51" s="103"/>
      <c r="H51" s="103"/>
    </row>
    <row r="52" spans="1:18" ht="13.5" customHeight="1" x14ac:dyDescent="0.15">
      <c r="B52" s="421" t="s">
        <v>77</v>
      </c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  <c r="N52" s="421"/>
      <c r="O52" s="421"/>
      <c r="P52" s="421"/>
      <c r="Q52" s="421"/>
      <c r="R52" s="421"/>
    </row>
    <row r="53" spans="1:18" ht="12.75" customHeight="1" x14ac:dyDescent="0.15">
      <c r="B53" s="315"/>
      <c r="R53" s="246"/>
    </row>
    <row r="54" spans="1:18" ht="13.5" customHeight="1" x14ac:dyDescent="0.15">
      <c r="B54" s="316"/>
      <c r="C54" s="109">
        <f t="shared" ref="C54:R54" si="14">C4</f>
        <v>2021</v>
      </c>
      <c r="D54" s="109">
        <f t="shared" si="14"/>
        <v>2022</v>
      </c>
      <c r="E54" s="109">
        <f t="shared" si="14"/>
        <v>2023</v>
      </c>
      <c r="F54" s="109">
        <f t="shared" si="14"/>
        <v>2024</v>
      </c>
      <c r="G54" s="109">
        <f t="shared" si="14"/>
        <v>2025</v>
      </c>
      <c r="H54" s="108" t="str">
        <f t="shared" si="14"/>
        <v>2025 (Adj.)</v>
      </c>
      <c r="I54" s="108">
        <f t="shared" si="14"/>
        <v>2026</v>
      </c>
      <c r="J54" s="109">
        <f t="shared" si="14"/>
        <v>2027</v>
      </c>
      <c r="K54" s="109">
        <f t="shared" si="14"/>
        <v>2028</v>
      </c>
      <c r="L54" s="109">
        <f t="shared" si="14"/>
        <v>2029</v>
      </c>
      <c r="M54" s="109">
        <f t="shared" si="14"/>
        <v>2030</v>
      </c>
      <c r="N54" s="109">
        <f t="shared" si="14"/>
        <v>2031</v>
      </c>
      <c r="O54" s="109">
        <f t="shared" si="14"/>
        <v>2032</v>
      </c>
      <c r="P54" s="109">
        <f t="shared" si="14"/>
        <v>2033</v>
      </c>
      <c r="Q54" s="109">
        <f t="shared" si="14"/>
        <v>2034</v>
      </c>
      <c r="R54" s="109">
        <f t="shared" si="14"/>
        <v>2035</v>
      </c>
    </row>
    <row r="55" spans="1:18" ht="12.75" customHeight="1" x14ac:dyDescent="0.15">
      <c r="B55" s="317" t="s">
        <v>78</v>
      </c>
      <c r="C55" s="318">
        <f>+C11/'Income Statement'!C6*365</f>
        <v>51.460299915378172</v>
      </c>
      <c r="D55" s="318">
        <f>+D11/'Income Statement'!D6*365</f>
        <v>38.504623867332839</v>
      </c>
      <c r="E55" s="318">
        <f>+E11/'Income Statement'!E6*365</f>
        <v>33.704160673700834</v>
      </c>
      <c r="F55" s="318">
        <f>+F11/'Income Statement'!F6*365</f>
        <v>33.478757675399258</v>
      </c>
      <c r="G55" s="319">
        <f>+G11/'Income Statement'!G6*365</f>
        <v>31.958287954950144</v>
      </c>
      <c r="H55" s="320"/>
      <c r="I55" s="321">
        <v>22</v>
      </c>
      <c r="J55" s="318">
        <f t="shared" ref="J55:R55" si="15">I55</f>
        <v>22</v>
      </c>
      <c r="K55" s="318">
        <f t="shared" si="15"/>
        <v>22</v>
      </c>
      <c r="L55" s="318">
        <f t="shared" si="15"/>
        <v>22</v>
      </c>
      <c r="M55" s="318">
        <f t="shared" si="15"/>
        <v>22</v>
      </c>
      <c r="N55" s="318">
        <f t="shared" si="15"/>
        <v>22</v>
      </c>
      <c r="O55" s="318">
        <f t="shared" si="15"/>
        <v>22</v>
      </c>
      <c r="P55" s="318">
        <f t="shared" si="15"/>
        <v>22</v>
      </c>
      <c r="Q55" s="318">
        <f t="shared" si="15"/>
        <v>22</v>
      </c>
      <c r="R55" s="322">
        <f t="shared" si="15"/>
        <v>22</v>
      </c>
    </row>
    <row r="56" spans="1:18" ht="12.75" customHeight="1" x14ac:dyDescent="0.15">
      <c r="B56" s="317" t="s">
        <v>79</v>
      </c>
      <c r="C56" s="318">
        <f>+C31/(-1*'Income Statement'!C22)*365</f>
        <v>42.000156343643326</v>
      </c>
      <c r="D56" s="318">
        <f>+D31/(-1*'Income Statement'!D22)*365</f>
        <v>30.490345352619556</v>
      </c>
      <c r="E56" s="318">
        <f>+E31/(-1*'Income Statement'!E22)*365</f>
        <v>18.42007581740641</v>
      </c>
      <c r="F56" s="318">
        <f>+F31/(-1*'Income Statement'!F22)*365</f>
        <v>10.487765678042509</v>
      </c>
      <c r="G56" s="319">
        <f>+G31/(-1*'Income Statement'!G22)*365</f>
        <v>10.254494965948403</v>
      </c>
      <c r="H56" s="320"/>
      <c r="I56" s="321">
        <v>5</v>
      </c>
      <c r="J56" s="318">
        <f t="shared" ref="J56:R56" si="16">I56</f>
        <v>5</v>
      </c>
      <c r="K56" s="318">
        <f t="shared" si="16"/>
        <v>5</v>
      </c>
      <c r="L56" s="318">
        <f t="shared" si="16"/>
        <v>5</v>
      </c>
      <c r="M56" s="318">
        <f t="shared" si="16"/>
        <v>5</v>
      </c>
      <c r="N56" s="318">
        <f t="shared" si="16"/>
        <v>5</v>
      </c>
      <c r="O56" s="318">
        <f t="shared" si="16"/>
        <v>5</v>
      </c>
      <c r="P56" s="318">
        <f t="shared" si="16"/>
        <v>5</v>
      </c>
      <c r="Q56" s="318">
        <f t="shared" si="16"/>
        <v>5</v>
      </c>
      <c r="R56" s="322">
        <f t="shared" si="16"/>
        <v>5</v>
      </c>
    </row>
    <row r="57" spans="1:18" ht="12.75" customHeight="1" x14ac:dyDescent="0.15">
      <c r="B57" s="323"/>
      <c r="C57" s="324"/>
      <c r="D57" s="324"/>
      <c r="E57" s="324"/>
      <c r="F57" s="324"/>
      <c r="G57" s="325"/>
      <c r="H57" s="324"/>
      <c r="I57" s="326"/>
      <c r="J57" s="324"/>
      <c r="K57" s="324"/>
      <c r="L57" s="324"/>
      <c r="M57" s="324"/>
      <c r="N57" s="324"/>
      <c r="O57" s="324"/>
      <c r="P57" s="324"/>
      <c r="Q57" s="324"/>
      <c r="R57" s="327"/>
    </row>
    <row r="58" spans="1:18" ht="13.5" customHeight="1" x14ac:dyDescent="0.15">
      <c r="B58" s="76"/>
      <c r="C58" s="103"/>
      <c r="D58" s="103"/>
      <c r="E58" s="103"/>
      <c r="F58" s="103"/>
      <c r="G58" s="103"/>
      <c r="H58" s="103"/>
      <c r="I58" s="114"/>
      <c r="J58" s="114"/>
      <c r="K58" s="114"/>
      <c r="L58" s="114"/>
      <c r="M58" s="114"/>
      <c r="N58" s="114"/>
      <c r="O58" s="114"/>
      <c r="P58" s="114"/>
      <c r="Q58" s="114"/>
      <c r="R58" s="114"/>
    </row>
    <row r="59" spans="1:18" ht="12.75" customHeight="1" x14ac:dyDescent="0.15">
      <c r="B59" s="76"/>
      <c r="C59" s="103"/>
      <c r="D59" s="103"/>
      <c r="E59" s="103"/>
      <c r="F59" s="103"/>
      <c r="G59" s="103"/>
      <c r="H59" s="103"/>
      <c r="I59" s="114"/>
      <c r="J59" s="114"/>
      <c r="K59" s="114"/>
      <c r="L59" s="114"/>
      <c r="M59" s="114"/>
      <c r="N59" s="114"/>
      <c r="O59" s="114"/>
      <c r="P59" s="114"/>
      <c r="Q59" s="114"/>
      <c r="R59" s="114"/>
    </row>
    <row r="60" spans="1:18" ht="12.75" customHeight="1" x14ac:dyDescent="0.15"/>
    <row r="61" spans="1:18" ht="13.5" customHeight="1" x14ac:dyDescent="0.15">
      <c r="B61" s="56" t="s">
        <v>80</v>
      </c>
      <c r="C61" s="71">
        <f t="shared" ref="C61:R61" si="17">C13+C14-C26-C27-C28</f>
        <v>-1.282</v>
      </c>
      <c r="D61" s="71">
        <f t="shared" si="17"/>
        <v>4.0079999999999991</v>
      </c>
      <c r="E61" s="71">
        <f t="shared" si="17"/>
        <v>4.366000000000005</v>
      </c>
      <c r="F61" s="71">
        <f t="shared" si="17"/>
        <v>-0.29800000000000182</v>
      </c>
      <c r="G61" s="71">
        <f t="shared" si="17"/>
        <v>-4.6099999999999994</v>
      </c>
      <c r="H61" s="282">
        <f t="shared" si="17"/>
        <v>-4.6099999999999994</v>
      </c>
      <c r="I61" s="282">
        <f t="shared" si="17"/>
        <v>-4.4895157189869828</v>
      </c>
      <c r="J61" s="282">
        <f t="shared" si="17"/>
        <v>-4.8324291766697129</v>
      </c>
      <c r="K61" s="282">
        <f t="shared" si="17"/>
        <v>-5.1833007186939355</v>
      </c>
      <c r="L61" s="282">
        <f t="shared" si="17"/>
        <v>-5.524966581209906</v>
      </c>
      <c r="M61" s="282">
        <f t="shared" si="17"/>
        <v>-5.8437530213755267</v>
      </c>
      <c r="N61" s="282">
        <f t="shared" si="17"/>
        <v>-6.1417203061611261</v>
      </c>
      <c r="O61" s="282">
        <f t="shared" si="17"/>
        <v>-6.3949805923523257</v>
      </c>
      <c r="P61" s="282">
        <f t="shared" si="17"/>
        <v>-6.6301025247977137</v>
      </c>
      <c r="Q61" s="282">
        <f t="shared" si="17"/>
        <v>-6.851723670745919</v>
      </c>
      <c r="R61" s="282">
        <f t="shared" si="17"/>
        <v>-7.0572753808682975</v>
      </c>
    </row>
    <row r="62" spans="1:18" ht="13.5" customHeight="1" x14ac:dyDescent="0.15"/>
    <row r="63" spans="1:18" ht="12.75" customHeight="1" x14ac:dyDescent="0.15">
      <c r="B63" s="56" t="s">
        <v>81</v>
      </c>
      <c r="C63" s="71">
        <f t="shared" ref="C63:R63" si="18">C25+C31-C11-C12</f>
        <v>-36.978999999999999</v>
      </c>
      <c r="D63" s="71">
        <f t="shared" si="18"/>
        <v>-30.567</v>
      </c>
      <c r="E63" s="71">
        <f t="shared" si="18"/>
        <v>-31.462</v>
      </c>
      <c r="F63" s="71">
        <f t="shared" si="18"/>
        <v>-35.081000000000003</v>
      </c>
      <c r="G63" s="71">
        <f t="shared" si="18"/>
        <v>-35.722000000000001</v>
      </c>
      <c r="H63" s="282">
        <f t="shared" si="18"/>
        <v>2363.933</v>
      </c>
      <c r="I63" s="282">
        <f t="shared" si="18"/>
        <v>2122.638758088513</v>
      </c>
      <c r="J63" s="282">
        <f t="shared" si="18"/>
        <v>1858.7169110942305</v>
      </c>
      <c r="K63" s="282">
        <f t="shared" si="18"/>
        <v>1571.5969249529626</v>
      </c>
      <c r="L63" s="282">
        <f t="shared" si="18"/>
        <v>1262.9618301403002</v>
      </c>
      <c r="M63" s="282">
        <f>M25+M31-M11-M12</f>
        <v>934.69952432438379</v>
      </c>
      <c r="N63" s="282">
        <f>N25+N31-N11-N12</f>
        <v>589.7365164643727</v>
      </c>
      <c r="O63" s="282">
        <f t="shared" si="18"/>
        <v>230.60559072509909</v>
      </c>
      <c r="P63" s="282">
        <f t="shared" si="18"/>
        <v>-141.70192164735488</v>
      </c>
      <c r="Q63" s="282">
        <f t="shared" si="18"/>
        <v>-526.43301233376155</v>
      </c>
      <c r="R63" s="282">
        <f t="shared" si="18"/>
        <v>-922.68331767055645</v>
      </c>
    </row>
    <row r="64" spans="1:18" ht="12.75" customHeight="1" x14ac:dyDescent="0.15"/>
    <row r="65" ht="12.75" customHeight="1" x14ac:dyDescent="0.15"/>
    <row r="67" ht="13.5" customHeight="1" x14ac:dyDescent="0.15"/>
    <row r="69" ht="13.5" customHeight="1" x14ac:dyDescent="0.15"/>
  </sheetData>
  <mergeCells count="2">
    <mergeCell ref="B2:R2"/>
    <mergeCell ref="B52:R52"/>
  </mergeCells>
  <pageMargins left="0.75" right="0.75" top="1" bottom="1" header="0.511811023622047" footer="0.511811023622047"/>
  <pageSetup paperSize="9" scale="45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"/>
  <sheetViews>
    <sheetView showGridLines="0" zoomScaleNormal="100" workbookViewId="0">
      <selection activeCell="G28" sqref="G28"/>
    </sheetView>
  </sheetViews>
  <sheetFormatPr baseColWidth="10" defaultColWidth="8.83203125" defaultRowHeight="13" x14ac:dyDescent="0.15"/>
  <cols>
    <col min="1" max="1" width="2.6640625" style="56" customWidth="1"/>
    <col min="2" max="2" width="38" style="56" customWidth="1"/>
    <col min="3" max="17" width="11" style="110" customWidth="1"/>
    <col min="18" max="16384" width="8.83203125" style="110"/>
  </cols>
  <sheetData>
    <row r="1" spans="1:17" s="56" customFormat="1" ht="12.75" customHeight="1" x14ac:dyDescent="0.15"/>
    <row r="2" spans="1:17" s="56" customFormat="1" ht="17.25" customHeight="1" x14ac:dyDescent="0.2">
      <c r="B2" s="420" t="s">
        <v>82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</row>
    <row r="3" spans="1:17" s="56" customFormat="1" ht="12.75" customHeight="1" x14ac:dyDescent="0.15">
      <c r="B3" s="69"/>
    </row>
    <row r="4" spans="1:17" s="56" customFormat="1" ht="12.75" customHeight="1" x14ac:dyDescent="0.15">
      <c r="B4" s="107" t="s">
        <v>19</v>
      </c>
      <c r="C4" s="109">
        <f>'Income Statement'!C4</f>
        <v>2021</v>
      </c>
      <c r="D4" s="109">
        <f>'Income Statement'!D4</f>
        <v>2022</v>
      </c>
      <c r="E4" s="109">
        <f>'Income Statement'!E4</f>
        <v>2023</v>
      </c>
      <c r="F4" s="109">
        <f>'Income Statement'!F4</f>
        <v>2024</v>
      </c>
      <c r="G4" s="225">
        <f>'Income Statement'!G4</f>
        <v>2025</v>
      </c>
      <c r="H4" s="108">
        <f>'Income Statement'!H4</f>
        <v>2026</v>
      </c>
      <c r="I4" s="109">
        <f>'Income Statement'!I4</f>
        <v>2027</v>
      </c>
      <c r="J4" s="109">
        <f>'Income Statement'!J4</f>
        <v>2028</v>
      </c>
      <c r="K4" s="109">
        <f>'Income Statement'!K4</f>
        <v>2029</v>
      </c>
      <c r="L4" s="109">
        <f>'Income Statement'!L4</f>
        <v>2030</v>
      </c>
      <c r="M4" s="109">
        <f>'Income Statement'!M4</f>
        <v>2031</v>
      </c>
      <c r="N4" s="109">
        <f>'Income Statement'!N4</f>
        <v>2032</v>
      </c>
      <c r="O4" s="109">
        <f>'Income Statement'!O4</f>
        <v>2033</v>
      </c>
      <c r="P4" s="109">
        <f>'Income Statement'!P4</f>
        <v>2034</v>
      </c>
      <c r="Q4" s="109">
        <f>'Income Statement'!Q4</f>
        <v>2035</v>
      </c>
    </row>
    <row r="5" spans="1:17" ht="12.75" customHeight="1" x14ac:dyDescent="0.15">
      <c r="B5" s="88"/>
      <c r="G5" s="269"/>
    </row>
    <row r="6" spans="1:17" ht="12.75" customHeight="1" x14ac:dyDescent="0.15">
      <c r="A6" s="69"/>
      <c r="B6" s="270" t="s">
        <v>38</v>
      </c>
      <c r="C6" s="71">
        <f>'Income Statement'!C43</f>
        <v>183.096</v>
      </c>
      <c r="D6" s="71">
        <f>'Income Statement'!D43</f>
        <v>195.678</v>
      </c>
      <c r="E6" s="71">
        <f>'Income Statement'!E43</f>
        <v>199.149</v>
      </c>
      <c r="F6" s="71">
        <f>'Income Statement'!F43</f>
        <v>192.72499999999997</v>
      </c>
      <c r="G6" s="286">
        <f>'Income Statement'!G43</f>
        <v>217.084</v>
      </c>
      <c r="H6" s="71">
        <f>'Income Statement'!H43</f>
        <v>240.95246726249997</v>
      </c>
      <c r="I6" s="71">
        <f>'Income Statement'!I43</f>
        <v>263.07783290250006</v>
      </c>
      <c r="J6" s="71">
        <f>'Income Statement'!J43</f>
        <v>286.22778545417634</v>
      </c>
      <c r="K6" s="71">
        <f>'Income Statement'!K43</f>
        <v>307.71393002354876</v>
      </c>
      <c r="L6" s="71">
        <f>'Income Statement'!L43</f>
        <v>327.32881737129776</v>
      </c>
      <c r="M6" s="71">
        <f>'Income Statement'!M43</f>
        <v>344.01899551322867</v>
      </c>
      <c r="N6" s="71">
        <f>'Income Statement'!N43</f>
        <v>358.20498004454834</v>
      </c>
      <c r="O6" s="71">
        <f>'Income Statement'!O43</f>
        <v>371.3749726509925</v>
      </c>
      <c r="P6" s="71">
        <f>'Income Statement'!P43</f>
        <v>383.78873951320384</v>
      </c>
      <c r="Q6" s="71">
        <f>'Income Statement'!Q43</f>
        <v>395.30240169859991</v>
      </c>
    </row>
    <row r="7" spans="1:17" ht="12.75" customHeight="1" x14ac:dyDescent="0.15">
      <c r="B7" s="112"/>
      <c r="C7" s="71"/>
      <c r="D7" s="71"/>
      <c r="E7" s="71"/>
      <c r="F7" s="71"/>
      <c r="G7" s="286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spans="1:17" ht="12.75" customHeight="1" x14ac:dyDescent="0.15">
      <c r="B8" s="112" t="s">
        <v>83</v>
      </c>
      <c r="C8" s="71">
        <v>4.4390000000000001</v>
      </c>
      <c r="D8" s="71">
        <v>4.5860000000000003</v>
      </c>
      <c r="E8" s="71">
        <v>4.984</v>
      </c>
      <c r="F8" s="71">
        <v>5.9989999999999997</v>
      </c>
      <c r="G8" s="286">
        <v>8.3279999999999994</v>
      </c>
      <c r="H8" s="71">
        <f>-'Income Statement'!H28</f>
        <v>4.6225893000000005</v>
      </c>
      <c r="I8" s="71">
        <f>-'Income Statement'!I28</f>
        <v>5.0110063410000008</v>
      </c>
      <c r="J8" s="71">
        <f>-'Income Statement'!J28</f>
        <v>5.4132914506700009</v>
      </c>
      <c r="K8" s="71">
        <f>-'Income Statement'!K28</f>
        <v>5.7949892659802016</v>
      </c>
      <c r="L8" s="71">
        <f>-'Income Statement'!L28</f>
        <v>6.1470200445314127</v>
      </c>
      <c r="M8" s="71">
        <f>-'Income Statement'!M28</f>
        <v>6.4604506199667355</v>
      </c>
      <c r="N8" s="71">
        <f>-'Income Statement'!N28</f>
        <v>6.7268540853436312</v>
      </c>
      <c r="O8" s="71">
        <f>-'Income Statement'!O28</f>
        <v>6.9741778901594831</v>
      </c>
      <c r="P8" s="71">
        <f>-'Income Statement'!P28</f>
        <v>7.2073002725484292</v>
      </c>
      <c r="Q8" s="71">
        <f>-'Income Statement'!Q28</f>
        <v>7.4235192807248813</v>
      </c>
    </row>
    <row r="9" spans="1:17" s="114" customFormat="1" ht="12.75" customHeight="1" x14ac:dyDescent="0.15">
      <c r="A9" s="69"/>
      <c r="B9" s="112" t="s">
        <v>84</v>
      </c>
      <c r="C9" s="71">
        <v>2.0590000000000002</v>
      </c>
      <c r="D9" s="71">
        <v>4.1120000000000001</v>
      </c>
      <c r="E9" s="71">
        <v>5.0039999999999996</v>
      </c>
      <c r="F9" s="71">
        <v>10.113</v>
      </c>
      <c r="G9" s="71">
        <v>10.917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0</v>
      </c>
    </row>
    <row r="10" spans="1:17" s="114" customFormat="1" ht="12.75" customHeight="1" x14ac:dyDescent="0.15">
      <c r="A10" s="69"/>
      <c r="B10" s="112" t="s">
        <v>85</v>
      </c>
      <c r="C10" s="71">
        <v>5.4470000000000001</v>
      </c>
      <c r="D10" s="71">
        <v>-5.9809999999999999</v>
      </c>
      <c r="E10" s="71">
        <v>-0.73399999999999999</v>
      </c>
      <c r="F10" s="71">
        <v>4.8490000000000002</v>
      </c>
      <c r="G10" s="286">
        <v>2.4220000000000002</v>
      </c>
      <c r="H10" s="71">
        <f>'Balance Sheet'!H61-'Balance Sheet'!I61</f>
        <v>-0.12048428101301667</v>
      </c>
      <c r="I10" s="71">
        <f>'Balance Sheet'!I61-'Balance Sheet'!J61</f>
        <v>0.34291345768273018</v>
      </c>
      <c r="J10" s="71">
        <f>'Balance Sheet'!J61-'Balance Sheet'!K61</f>
        <v>0.35087154202422255</v>
      </c>
      <c r="K10" s="71">
        <f>'Balance Sheet'!K61-'Balance Sheet'!L61</f>
        <v>0.34166586251597053</v>
      </c>
      <c r="L10" s="71">
        <f>'Balance Sheet'!L61-'Balance Sheet'!M61</f>
        <v>0.31878644016562063</v>
      </c>
      <c r="M10" s="71">
        <f>'Balance Sheet'!M61-'Balance Sheet'!N61</f>
        <v>0.29796728478559942</v>
      </c>
      <c r="N10" s="71">
        <f>'Balance Sheet'!N61-'Balance Sheet'!O61</f>
        <v>0.25326028619119967</v>
      </c>
      <c r="O10" s="71">
        <f>'Balance Sheet'!O61-'Balance Sheet'!P61</f>
        <v>0.23512193244538793</v>
      </c>
      <c r="P10" s="71">
        <f>'Balance Sheet'!P61-'Balance Sheet'!Q61</f>
        <v>0.22162114594820537</v>
      </c>
      <c r="Q10" s="71">
        <f>'Balance Sheet'!Q61-'Balance Sheet'!R61</f>
        <v>0.20555171012237849</v>
      </c>
    </row>
    <row r="11" spans="1:17" s="114" customFormat="1" ht="13.5" customHeight="1" x14ac:dyDescent="0.15">
      <c r="A11" s="69"/>
      <c r="B11" s="117"/>
      <c r="C11" s="282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</row>
    <row r="12" spans="1:17" s="114" customFormat="1" ht="13.5" customHeight="1" x14ac:dyDescent="0.15">
      <c r="A12" s="69"/>
      <c r="B12" s="328" t="s">
        <v>86</v>
      </c>
      <c r="C12" s="329">
        <f t="shared" ref="C12:Q12" si="0">SUM(C6:C10)</f>
        <v>195.041</v>
      </c>
      <c r="D12" s="329">
        <f t="shared" si="0"/>
        <v>198.39500000000001</v>
      </c>
      <c r="E12" s="329">
        <f t="shared" si="0"/>
        <v>208.40299999999999</v>
      </c>
      <c r="F12" s="329">
        <f t="shared" si="0"/>
        <v>213.68599999999995</v>
      </c>
      <c r="G12" s="329">
        <f t="shared" si="0"/>
        <v>238.751</v>
      </c>
      <c r="H12" s="330">
        <f t="shared" si="0"/>
        <v>245.45457228148695</v>
      </c>
      <c r="I12" s="330">
        <f t="shared" si="0"/>
        <v>268.4317527011828</v>
      </c>
      <c r="J12" s="330">
        <f t="shared" si="0"/>
        <v>291.99194844687054</v>
      </c>
      <c r="K12" s="330">
        <f t="shared" si="0"/>
        <v>313.85058515204491</v>
      </c>
      <c r="L12" s="330">
        <f t="shared" si="0"/>
        <v>333.79462385599481</v>
      </c>
      <c r="M12" s="330">
        <f t="shared" si="0"/>
        <v>350.77741341798105</v>
      </c>
      <c r="N12" s="330">
        <f t="shared" si="0"/>
        <v>365.18509441608319</v>
      </c>
      <c r="O12" s="330">
        <f t="shared" si="0"/>
        <v>378.58427247359737</v>
      </c>
      <c r="P12" s="330">
        <f t="shared" si="0"/>
        <v>391.21766093170049</v>
      </c>
      <c r="Q12" s="330">
        <f t="shared" si="0"/>
        <v>402.93147268944716</v>
      </c>
    </row>
    <row r="13" spans="1:17" s="114" customFormat="1" ht="12.75" customHeight="1" x14ac:dyDescent="0.15">
      <c r="A13" s="69"/>
      <c r="B13" s="117"/>
      <c r="C13" s="103"/>
      <c r="D13" s="110"/>
      <c r="E13" s="110"/>
      <c r="F13" s="110"/>
      <c r="G13" s="269"/>
      <c r="H13" s="110"/>
      <c r="I13" s="110"/>
      <c r="J13" s="110"/>
      <c r="K13" s="110"/>
      <c r="L13" s="110"/>
      <c r="M13" s="110"/>
      <c r="N13" s="110"/>
      <c r="O13" s="110"/>
      <c r="P13" s="110"/>
      <c r="Q13" s="110"/>
    </row>
    <row r="14" spans="1:17" s="114" customFormat="1" ht="12.75" customHeight="1" x14ac:dyDescent="0.15">
      <c r="A14" s="69"/>
      <c r="B14" s="112" t="s">
        <v>87</v>
      </c>
      <c r="C14" s="78">
        <f>-'PPE Schedule'!C6</f>
        <v>-0.7</v>
      </c>
      <c r="D14" s="71">
        <f>-'PPE Schedule'!D6</f>
        <v>-0.83499999999999996</v>
      </c>
      <c r="E14" s="71">
        <f>-'PPE Schedule'!E6</f>
        <v>-2.0179999999999998</v>
      </c>
      <c r="F14" s="71">
        <f>-'PPE Schedule'!F6</f>
        <v>-1.0549999999999999</v>
      </c>
      <c r="G14" s="286">
        <f>-'PPE Schedule'!G6</f>
        <v>-0.90300000000000002</v>
      </c>
      <c r="H14" s="71">
        <f>-'PPE Schedule'!H6</f>
        <v>-4.1603303699999996</v>
      </c>
      <c r="I14" s="71">
        <f>-'PPE Schedule'!I6</f>
        <v>-4.5099057069000006</v>
      </c>
      <c r="J14" s="71">
        <f>-'PPE Schedule'!J6</f>
        <v>-4.8719623056030006</v>
      </c>
      <c r="K14" s="71">
        <f>-'PPE Schedule'!K6</f>
        <v>-5.215490339382181</v>
      </c>
      <c r="L14" s="71">
        <f>-'PPE Schedule'!L6</f>
        <v>-5.5323180400782714</v>
      </c>
      <c r="M14" s="71">
        <f>-'PPE Schedule'!M6</f>
        <v>-5.814405557970062</v>
      </c>
      <c r="N14" s="71">
        <f>-'PPE Schedule'!N6</f>
        <v>-6.0541686768092671</v>
      </c>
      <c r="O14" s="71">
        <f>-'PPE Schedule'!O6</f>
        <v>-6.2767601011435339</v>
      </c>
      <c r="P14" s="71">
        <f>-'PPE Schedule'!P6</f>
        <v>-6.4865702452935849</v>
      </c>
      <c r="Q14" s="71">
        <f>-'PPE Schedule'!Q6</f>
        <v>-6.6811673526523929</v>
      </c>
    </row>
    <row r="15" spans="1:17" ht="13.5" customHeight="1" x14ac:dyDescent="0.15">
      <c r="B15" s="328" t="s">
        <v>88</v>
      </c>
      <c r="C15" s="230">
        <v>-0.7</v>
      </c>
      <c r="D15" s="330">
        <v>-0.83499999999999996</v>
      </c>
      <c r="E15" s="330">
        <v>-2.0179999999999998</v>
      </c>
      <c r="F15" s="330">
        <v>-4.0549999999999997</v>
      </c>
      <c r="G15" s="331">
        <v>-0.90300000000000002</v>
      </c>
      <c r="H15" s="330">
        <f t="shared" ref="H15:Q15" si="1">H14</f>
        <v>-4.1603303699999996</v>
      </c>
      <c r="I15" s="330">
        <f t="shared" si="1"/>
        <v>-4.5099057069000006</v>
      </c>
      <c r="J15" s="330">
        <f t="shared" si="1"/>
        <v>-4.8719623056030006</v>
      </c>
      <c r="K15" s="330">
        <f t="shared" si="1"/>
        <v>-5.215490339382181</v>
      </c>
      <c r="L15" s="330">
        <f t="shared" si="1"/>
        <v>-5.5323180400782714</v>
      </c>
      <c r="M15" s="330">
        <f t="shared" si="1"/>
        <v>-5.814405557970062</v>
      </c>
      <c r="N15" s="330">
        <f t="shared" si="1"/>
        <v>-6.0541686768092671</v>
      </c>
      <c r="O15" s="330">
        <f t="shared" si="1"/>
        <v>-6.2767601011435339</v>
      </c>
      <c r="P15" s="330">
        <f t="shared" si="1"/>
        <v>-6.4865702452935849</v>
      </c>
      <c r="Q15" s="330">
        <f t="shared" si="1"/>
        <v>-6.6811673526523929</v>
      </c>
    </row>
    <row r="16" spans="1:17" ht="13.5" customHeight="1" x14ac:dyDescent="0.15">
      <c r="B16" s="111"/>
      <c r="C16" s="103"/>
      <c r="D16" s="103"/>
      <c r="E16" s="103"/>
      <c r="F16" s="103"/>
      <c r="G16" s="279"/>
      <c r="H16" s="103"/>
      <c r="I16" s="103"/>
      <c r="J16" s="103"/>
      <c r="K16" s="103"/>
      <c r="L16" s="103"/>
      <c r="M16" s="103"/>
      <c r="N16" s="103"/>
      <c r="O16" s="103"/>
      <c r="P16" s="103"/>
      <c r="Q16" s="103"/>
    </row>
    <row r="17" spans="1:17" s="114" customFormat="1" ht="13.5" customHeight="1" x14ac:dyDescent="0.15">
      <c r="A17" s="69"/>
      <c r="B17" s="112" t="s">
        <v>89</v>
      </c>
      <c r="C17" s="282">
        <f>'Debt Schedule'!C7</f>
        <v>-1.5900000000000007</v>
      </c>
      <c r="D17" s="71">
        <f>'Debt Schedule'!D7</f>
        <v>-1.5900000000000007</v>
      </c>
      <c r="E17" s="71">
        <f>'Debt Schedule'!E7</f>
        <v>-2.13</v>
      </c>
      <c r="F17" s="71">
        <f>'Debt Schedule'!F7</f>
        <v>-1.4470000000000001</v>
      </c>
      <c r="G17" s="286">
        <f>'Debt Schedule'!G7</f>
        <v>-4.3000000000000149E-2</v>
      </c>
      <c r="H17" s="71">
        <f>'LBO Modelling'!C79</f>
        <v>-64.054051911486951</v>
      </c>
      <c r="I17" s="71">
        <f>'LBO Modelling'!D79</f>
        <v>-92.063275234725353</v>
      </c>
      <c r="J17" s="71">
        <f>'LBO Modelling'!E79</f>
        <v>-112.15795279748473</v>
      </c>
      <c r="K17" s="71">
        <f>'LBO Modelling'!F79</f>
        <v>-115.14417400450151</v>
      </c>
      <c r="L17" s="71">
        <f>'LBO Modelling'!G79</f>
        <v>-128.69996516127472</v>
      </c>
      <c r="M17" s="71">
        <f>'LBO Modelling'!H79</f>
        <v>-141.23306505106336</v>
      </c>
      <c r="N17" s="71">
        <f>'LBO Modelling'!I79</f>
        <v>-152.90709860485441</v>
      </c>
      <c r="O17" s="71">
        <f>'LBO Modelling'!J79</f>
        <v>-621.96055000000001</v>
      </c>
      <c r="P17" s="71">
        <f>'LBO Modelling'!K79</f>
        <v>-336.54035931615726</v>
      </c>
      <c r="Q17" s="71">
        <f>'LBO Modelling'!L79</f>
        <v>-283.49032501461426</v>
      </c>
    </row>
    <row r="18" spans="1:17" s="114" customFormat="1" ht="12.75" customHeight="1" x14ac:dyDescent="0.15">
      <c r="A18" s="69"/>
      <c r="B18" s="328" t="s">
        <v>90</v>
      </c>
      <c r="C18" s="230">
        <v>-243.02199999999999</v>
      </c>
      <c r="D18" s="330">
        <v>-203.4</v>
      </c>
      <c r="E18" s="330">
        <v>-206.50700000000001</v>
      </c>
      <c r="F18" s="330">
        <v>-191.92400000000001</v>
      </c>
      <c r="G18" s="331">
        <v>-227.09299999999999</v>
      </c>
      <c r="H18" s="330">
        <f t="shared" ref="H18:Q18" si="2">H17</f>
        <v>-64.054051911486951</v>
      </c>
      <c r="I18" s="330">
        <f t="shared" si="2"/>
        <v>-92.063275234725353</v>
      </c>
      <c r="J18" s="330">
        <f t="shared" si="2"/>
        <v>-112.15795279748473</v>
      </c>
      <c r="K18" s="330">
        <f t="shared" si="2"/>
        <v>-115.14417400450151</v>
      </c>
      <c r="L18" s="330">
        <f t="shared" si="2"/>
        <v>-128.69996516127472</v>
      </c>
      <c r="M18" s="330">
        <f t="shared" si="2"/>
        <v>-141.23306505106336</v>
      </c>
      <c r="N18" s="330">
        <f t="shared" si="2"/>
        <v>-152.90709860485441</v>
      </c>
      <c r="O18" s="330">
        <f t="shared" si="2"/>
        <v>-621.96055000000001</v>
      </c>
      <c r="P18" s="330">
        <f t="shared" si="2"/>
        <v>-336.54035931615726</v>
      </c>
      <c r="Q18" s="330">
        <f t="shared" si="2"/>
        <v>-283.49032501461426</v>
      </c>
    </row>
    <row r="19" spans="1:17" s="114" customFormat="1" ht="12.75" customHeight="1" x14ac:dyDescent="0.15">
      <c r="A19" s="69"/>
      <c r="B19" s="120"/>
      <c r="C19" s="110"/>
      <c r="D19" s="110"/>
      <c r="E19" s="110"/>
      <c r="F19" s="110"/>
      <c r="G19" s="269"/>
      <c r="H19" s="110"/>
      <c r="I19" s="110"/>
      <c r="J19" s="110"/>
      <c r="K19" s="110"/>
      <c r="L19" s="110"/>
      <c r="M19" s="110"/>
      <c r="N19" s="110"/>
      <c r="O19" s="110"/>
      <c r="P19" s="110"/>
      <c r="Q19" s="110"/>
    </row>
    <row r="20" spans="1:17" ht="13.5" customHeight="1" x14ac:dyDescent="0.15">
      <c r="B20" s="82" t="s">
        <v>91</v>
      </c>
      <c r="C20" s="332">
        <f>+C12+C15+C18</f>
        <v>-48.680999999999983</v>
      </c>
      <c r="D20" s="333">
        <f>+D12+D15+D18</f>
        <v>-5.8400000000000034</v>
      </c>
      <c r="E20" s="333">
        <f>+E12+E15+E18</f>
        <v>-0.1220000000000141</v>
      </c>
      <c r="F20" s="333">
        <f>+F12+F15+F18</f>
        <v>17.706999999999937</v>
      </c>
      <c r="G20" s="334">
        <f>+G12+G15+G18</f>
        <v>10.755000000000024</v>
      </c>
      <c r="H20" s="333">
        <f t="shared" ref="H20:Q20" si="3">H12+H15+H18</f>
        <v>177.24018999999998</v>
      </c>
      <c r="I20" s="333">
        <f t="shared" si="3"/>
        <v>171.85857175955746</v>
      </c>
      <c r="J20" s="333">
        <f t="shared" si="3"/>
        <v>174.96203334378282</v>
      </c>
      <c r="K20" s="333">
        <f t="shared" si="3"/>
        <v>193.49092080816121</v>
      </c>
      <c r="L20" s="333">
        <f t="shared" si="3"/>
        <v>199.56234065464182</v>
      </c>
      <c r="M20" s="333">
        <f t="shared" si="3"/>
        <v>203.72994280894761</v>
      </c>
      <c r="N20" s="333">
        <f t="shared" si="3"/>
        <v>206.22382713441954</v>
      </c>
      <c r="O20" s="333">
        <f t="shared" si="3"/>
        <v>-249.65303762754615</v>
      </c>
      <c r="P20" s="333">
        <f t="shared" si="3"/>
        <v>48.190731370249637</v>
      </c>
      <c r="Q20" s="333">
        <f t="shared" si="3"/>
        <v>112.75998032218052</v>
      </c>
    </row>
    <row r="21" spans="1:17" s="114" customFormat="1" ht="12.75" customHeight="1" x14ac:dyDescent="0.15">
      <c r="A21" s="69"/>
      <c r="B21" s="111" t="s">
        <v>92</v>
      </c>
      <c r="C21" s="281">
        <v>12.417999999999999</v>
      </c>
      <c r="D21" s="71">
        <f>+C22</f>
        <v>-36.262999999999984</v>
      </c>
      <c r="E21" s="71">
        <f>+D22</f>
        <v>-42.102999999999987</v>
      </c>
      <c r="F21" s="71">
        <f>+E22</f>
        <v>-42.225000000000001</v>
      </c>
      <c r="G21" s="286">
        <f>+F22</f>
        <v>-24.518000000000065</v>
      </c>
      <c r="H21" s="71">
        <f>'Balance Sheet'!H11</f>
        <v>0</v>
      </c>
      <c r="I21" s="71">
        <f t="shared" ref="I21:Q21" si="4">H22</f>
        <v>177.24018999999998</v>
      </c>
      <c r="J21" s="71">
        <f t="shared" si="4"/>
        <v>349.09876175955742</v>
      </c>
      <c r="K21" s="71">
        <f t="shared" si="4"/>
        <v>524.0607951033403</v>
      </c>
      <c r="L21" s="71">
        <f t="shared" si="4"/>
        <v>717.55171591150156</v>
      </c>
      <c r="M21" s="71">
        <f t="shared" si="4"/>
        <v>917.1140565661434</v>
      </c>
      <c r="N21" s="71">
        <f t="shared" si="4"/>
        <v>1120.843999375091</v>
      </c>
      <c r="O21" s="71">
        <f t="shared" si="4"/>
        <v>1327.0678265095105</v>
      </c>
      <c r="P21" s="71">
        <f t="shared" si="4"/>
        <v>1077.4147888819643</v>
      </c>
      <c r="Q21" s="71">
        <f t="shared" si="4"/>
        <v>1125.6055202522139</v>
      </c>
    </row>
    <row r="22" spans="1:17" ht="13.5" customHeight="1" x14ac:dyDescent="0.15">
      <c r="B22" s="335" t="s">
        <v>93</v>
      </c>
      <c r="C22" s="336">
        <f>+C20+C21</f>
        <v>-36.262999999999984</v>
      </c>
      <c r="D22" s="337">
        <f>+D20+D21</f>
        <v>-42.102999999999987</v>
      </c>
      <c r="E22" s="337">
        <f>+E20+E21</f>
        <v>-42.225000000000001</v>
      </c>
      <c r="F22" s="337">
        <f>+F20+F21</f>
        <v>-24.518000000000065</v>
      </c>
      <c r="G22" s="338">
        <f>+G20+G21</f>
        <v>-13.763000000000041</v>
      </c>
      <c r="H22" s="337">
        <f t="shared" ref="H22:Q22" si="5">H20+H21</f>
        <v>177.24018999999998</v>
      </c>
      <c r="I22" s="337">
        <f t="shared" si="5"/>
        <v>349.09876175955742</v>
      </c>
      <c r="J22" s="337">
        <f t="shared" si="5"/>
        <v>524.0607951033403</v>
      </c>
      <c r="K22" s="337">
        <f t="shared" si="5"/>
        <v>717.55171591150156</v>
      </c>
      <c r="L22" s="337">
        <f t="shared" si="5"/>
        <v>917.1140565661434</v>
      </c>
      <c r="M22" s="337">
        <f t="shared" si="5"/>
        <v>1120.843999375091</v>
      </c>
      <c r="N22" s="337">
        <f t="shared" si="5"/>
        <v>1327.0678265095105</v>
      </c>
      <c r="O22" s="337">
        <f t="shared" si="5"/>
        <v>1077.4147888819643</v>
      </c>
      <c r="P22" s="337">
        <f t="shared" si="5"/>
        <v>1125.6055202522139</v>
      </c>
      <c r="Q22" s="337">
        <f t="shared" si="5"/>
        <v>1238.3655005743944</v>
      </c>
    </row>
    <row r="23" spans="1:17" ht="13.5" customHeight="1" x14ac:dyDescent="0.15"/>
    <row r="24" spans="1:17" ht="12.75" customHeight="1" x14ac:dyDescent="0.15"/>
    <row r="25" spans="1:17" ht="12.75" customHeight="1" x14ac:dyDescent="0.15">
      <c r="B25" s="88" t="s">
        <v>94</v>
      </c>
    </row>
    <row r="26" spans="1:17" s="114" customFormat="1" ht="13.5" customHeight="1" x14ac:dyDescent="0.15">
      <c r="A26" s="69"/>
      <c r="B26" s="114" t="s">
        <v>95</v>
      </c>
      <c r="C26" s="110">
        <v>0.20899999999999999</v>
      </c>
      <c r="D26" s="110">
        <v>0.45100000000000001</v>
      </c>
      <c r="E26" s="110">
        <v>0.47899999999999998</v>
      </c>
      <c r="F26" s="110">
        <v>0.53800000000000003</v>
      </c>
      <c r="G26" s="110">
        <v>0.53500000000000003</v>
      </c>
      <c r="H26" s="110"/>
    </row>
    <row r="27" spans="1:17" s="114" customFormat="1" ht="13.5" customHeight="1" x14ac:dyDescent="0.15">
      <c r="A27" s="69"/>
      <c r="B27" s="114" t="s">
        <v>96</v>
      </c>
      <c r="C27" s="110">
        <v>41.610999999999997</v>
      </c>
      <c r="D27" s="110">
        <v>45.622</v>
      </c>
      <c r="E27" s="110">
        <v>60.978999999999999</v>
      </c>
      <c r="F27" s="110">
        <v>65.808999999999997</v>
      </c>
      <c r="G27" s="110">
        <v>71.180999999999997</v>
      </c>
      <c r="H27" s="110"/>
    </row>
    <row r="28" spans="1:17" ht="13.5" customHeight="1" x14ac:dyDescent="0.15">
      <c r="B28" s="120" t="s">
        <v>97</v>
      </c>
      <c r="C28" s="110">
        <v>194.339</v>
      </c>
      <c r="D28" s="110">
        <v>197.56299999999999</v>
      </c>
      <c r="E28" s="110">
        <v>206.387</v>
      </c>
      <c r="F28" s="110">
        <v>212.619</v>
      </c>
      <c r="G28" s="110">
        <v>237.83099999999999</v>
      </c>
    </row>
    <row r="29" spans="1:17" ht="12.75" customHeight="1" x14ac:dyDescent="0.15">
      <c r="B29" s="111" t="s">
        <v>98</v>
      </c>
      <c r="C29" s="110">
        <v>5.4470000000000001</v>
      </c>
      <c r="D29" s="110">
        <v>-5.9809999999999999</v>
      </c>
      <c r="E29" s="110">
        <v>-0.73399999999999999</v>
      </c>
      <c r="F29" s="110">
        <v>4.8490000000000002</v>
      </c>
      <c r="G29" s="110">
        <v>2.4220000000000002</v>
      </c>
    </row>
    <row r="30" spans="1:17" s="114" customFormat="1" ht="12.75" customHeight="1" x14ac:dyDescent="0.15">
      <c r="A30" s="69"/>
      <c r="B30" s="117"/>
      <c r="D30" s="103"/>
      <c r="E30" s="103"/>
      <c r="F30" s="103"/>
      <c r="G30" s="103"/>
    </row>
    <row r="31" spans="1:17" ht="12.75" customHeight="1" x14ac:dyDescent="0.15">
      <c r="B31" s="120"/>
    </row>
    <row r="32" spans="1:17" ht="12.75" customHeight="1" x14ac:dyDescent="0.15">
      <c r="B32" s="292"/>
    </row>
    <row r="33" spans="1:7" ht="12.75" customHeight="1" x14ac:dyDescent="0.15">
      <c r="B33" s="111"/>
      <c r="D33" s="103"/>
      <c r="E33" s="103"/>
      <c r="F33" s="103"/>
      <c r="G33" s="103"/>
    </row>
    <row r="34" spans="1:7" ht="12.75" customHeight="1" x14ac:dyDescent="0.15">
      <c r="B34" s="120"/>
    </row>
    <row r="35" spans="1:7" ht="12.75" customHeight="1" x14ac:dyDescent="0.15">
      <c r="B35" s="111"/>
    </row>
    <row r="36" spans="1:7" s="114" customFormat="1" ht="12.75" customHeight="1" x14ac:dyDescent="0.15">
      <c r="A36" s="69"/>
      <c r="B36" s="111"/>
      <c r="C36" s="110"/>
      <c r="D36" s="103"/>
      <c r="E36" s="103"/>
      <c r="F36" s="103"/>
      <c r="G36" s="103"/>
    </row>
    <row r="37" spans="1:7" s="114" customFormat="1" ht="12.75" customHeight="1" x14ac:dyDescent="0.15">
      <c r="A37" s="69"/>
      <c r="B37" s="117"/>
      <c r="C37" s="103"/>
      <c r="D37" s="103"/>
      <c r="E37" s="103"/>
      <c r="F37" s="103"/>
      <c r="G37" s="103"/>
    </row>
    <row r="38" spans="1:7" ht="12.75" customHeight="1" x14ac:dyDescent="0.15">
      <c r="B38" s="111"/>
    </row>
    <row r="39" spans="1:7" ht="12.75" customHeight="1" x14ac:dyDescent="0.15">
      <c r="B39" s="120"/>
    </row>
    <row r="40" spans="1:7" ht="12.75" customHeight="1" x14ac:dyDescent="0.15">
      <c r="B40" s="117"/>
      <c r="C40" s="103"/>
      <c r="D40" s="103"/>
      <c r="E40" s="103"/>
      <c r="F40" s="103"/>
      <c r="G40" s="103"/>
    </row>
    <row r="41" spans="1:7" ht="12.75" customHeight="1" x14ac:dyDescent="0.15">
      <c r="B41" s="120"/>
    </row>
    <row r="42" spans="1:7" ht="12.75" customHeight="1" x14ac:dyDescent="0.15">
      <c r="B42" s="120"/>
    </row>
    <row r="43" spans="1:7" ht="12.75" customHeight="1" x14ac:dyDescent="0.15">
      <c r="B43" s="117"/>
      <c r="C43" s="103"/>
      <c r="D43" s="103"/>
      <c r="E43" s="103"/>
      <c r="F43" s="103"/>
      <c r="G43" s="103"/>
    </row>
    <row r="44" spans="1:7" ht="12.75" customHeight="1" x14ac:dyDescent="0.15">
      <c r="B44" s="112"/>
    </row>
    <row r="45" spans="1:7" ht="12.75" customHeight="1" x14ac:dyDescent="0.15">
      <c r="B45" s="112"/>
    </row>
    <row r="46" spans="1:7" ht="12.75" customHeight="1" x14ac:dyDescent="0.15">
      <c r="B46" s="270"/>
    </row>
    <row r="47" spans="1:7" s="114" customFormat="1" ht="12.75" customHeight="1" x14ac:dyDescent="0.15">
      <c r="A47" s="69"/>
      <c r="B47" s="76"/>
      <c r="C47" s="103"/>
      <c r="D47" s="103"/>
      <c r="E47" s="103"/>
      <c r="F47" s="103"/>
      <c r="G47" s="103"/>
    </row>
    <row r="48" spans="1:7" s="114" customFormat="1" ht="12.75" customHeight="1" x14ac:dyDescent="0.15">
      <c r="A48" s="69"/>
      <c r="B48" s="76"/>
      <c r="C48" s="103"/>
      <c r="D48" s="103"/>
      <c r="E48" s="103"/>
      <c r="F48" s="103"/>
      <c r="G48" s="103"/>
    </row>
    <row r="49" spans="1:7" s="114" customFormat="1" ht="12.75" customHeight="1" x14ac:dyDescent="0.15">
      <c r="A49" s="69"/>
      <c r="B49" s="76"/>
      <c r="D49" s="103"/>
      <c r="E49" s="103"/>
    </row>
    <row r="50" spans="1:7" ht="12.75" customHeight="1" x14ac:dyDescent="0.15">
      <c r="B50" s="120"/>
    </row>
    <row r="51" spans="1:7" ht="12.75" customHeight="1" x14ac:dyDescent="0.15">
      <c r="B51" s="117"/>
      <c r="C51" s="103"/>
      <c r="D51" s="103"/>
      <c r="E51" s="103"/>
      <c r="F51" s="103"/>
      <c r="G51" s="103"/>
    </row>
    <row r="52" spans="1:7" ht="12.75" customHeight="1" x14ac:dyDescent="0.15">
      <c r="B52" s="120"/>
    </row>
    <row r="53" spans="1:7" ht="12.75" customHeight="1" x14ac:dyDescent="0.15">
      <c r="B53" s="120"/>
    </row>
    <row r="54" spans="1:7" ht="12.75" customHeight="1" x14ac:dyDescent="0.15">
      <c r="B54" s="117"/>
      <c r="C54" s="103"/>
      <c r="D54" s="103"/>
      <c r="E54" s="103"/>
      <c r="F54" s="103"/>
      <c r="G54" s="103"/>
    </row>
    <row r="55" spans="1:7" ht="12.75" customHeight="1" x14ac:dyDescent="0.15">
      <c r="B55" s="120"/>
    </row>
    <row r="56" spans="1:7" ht="12.75" customHeight="1" x14ac:dyDescent="0.15">
      <c r="B56" s="120"/>
    </row>
    <row r="57" spans="1:7" ht="12.75" customHeight="1" x14ac:dyDescent="0.15">
      <c r="B57" s="117"/>
      <c r="D57" s="103"/>
      <c r="E57" s="103"/>
      <c r="F57" s="291"/>
      <c r="G57" s="291"/>
    </row>
    <row r="58" spans="1:7" ht="12.75" customHeight="1" x14ac:dyDescent="0.15">
      <c r="B58" s="120"/>
      <c r="E58" s="103"/>
    </row>
    <row r="59" spans="1:7" s="114" customFormat="1" ht="12.75" customHeight="1" x14ac:dyDescent="0.15">
      <c r="A59" s="69"/>
      <c r="B59" s="117"/>
      <c r="C59" s="103"/>
      <c r="D59" s="103"/>
      <c r="E59" s="103"/>
      <c r="F59" s="103"/>
      <c r="G59" s="103"/>
    </row>
    <row r="63" spans="1:7" s="114" customFormat="1" ht="12.75" customHeight="1" x14ac:dyDescent="0.15">
      <c r="A63" s="69"/>
      <c r="B63" s="69"/>
      <c r="C63" s="103"/>
      <c r="D63" s="103"/>
      <c r="E63" s="103"/>
      <c r="F63" s="103"/>
      <c r="G63" s="103"/>
    </row>
    <row r="66" spans="1:7" ht="12.75" customHeight="1" x14ac:dyDescent="0.15">
      <c r="B66" s="69"/>
      <c r="D66" s="103"/>
      <c r="E66" s="103"/>
      <c r="F66" s="103"/>
      <c r="G66" s="103"/>
    </row>
    <row r="69" spans="1:7" s="114" customFormat="1" ht="12.75" customHeight="1" x14ac:dyDescent="0.15">
      <c r="A69" s="69"/>
      <c r="B69" s="69"/>
      <c r="C69" s="103"/>
      <c r="D69" s="103"/>
      <c r="E69" s="103"/>
      <c r="F69" s="103"/>
      <c r="G69" s="103"/>
    </row>
    <row r="71" spans="1:7" ht="12.75" customHeight="1" x14ac:dyDescent="0.15">
      <c r="B71" s="88"/>
    </row>
    <row r="72" spans="1:7" ht="12.75" customHeight="1" x14ac:dyDescent="0.15">
      <c r="B72" s="69"/>
      <c r="C72" s="103"/>
      <c r="D72" s="103"/>
      <c r="E72" s="103"/>
      <c r="F72" s="103"/>
      <c r="G72" s="103"/>
    </row>
    <row r="75" spans="1:7" ht="12.75" customHeight="1" x14ac:dyDescent="0.15">
      <c r="B75" s="69"/>
      <c r="C75" s="103"/>
      <c r="D75" s="103"/>
      <c r="E75" s="103"/>
      <c r="F75" s="103"/>
      <c r="G75" s="103"/>
    </row>
    <row r="78" spans="1:7" ht="12.75" customHeight="1" x14ac:dyDescent="0.15">
      <c r="B78" s="69"/>
      <c r="C78" s="103"/>
      <c r="D78" s="103"/>
      <c r="E78" s="103"/>
      <c r="F78" s="103"/>
      <c r="G78" s="103"/>
    </row>
    <row r="80" spans="1:7" ht="12.75" customHeight="1" x14ac:dyDescent="0.15">
      <c r="B80" s="88"/>
    </row>
    <row r="81" spans="1:7" s="114" customFormat="1" ht="12.75" customHeight="1" x14ac:dyDescent="0.15">
      <c r="A81" s="69"/>
      <c r="B81" s="69"/>
      <c r="C81" s="103"/>
      <c r="D81" s="103"/>
      <c r="E81" s="103"/>
      <c r="F81" s="103"/>
      <c r="G81" s="103"/>
    </row>
    <row r="84" spans="1:7" ht="12.75" customHeight="1" x14ac:dyDescent="0.15">
      <c r="B84" s="69"/>
      <c r="C84" s="103"/>
      <c r="D84" s="103"/>
      <c r="E84" s="103"/>
      <c r="F84" s="103"/>
      <c r="G84" s="103"/>
    </row>
    <row r="85" spans="1:7" s="114" customFormat="1" ht="12.75" customHeight="1" x14ac:dyDescent="0.15">
      <c r="A85" s="69"/>
      <c r="B85" s="69"/>
      <c r="C85" s="103"/>
      <c r="D85" s="103"/>
      <c r="E85" s="103"/>
      <c r="F85" s="103"/>
      <c r="G85" s="103"/>
    </row>
    <row r="88" spans="1:7" s="114" customFormat="1" ht="12.75" customHeight="1" x14ac:dyDescent="0.15">
      <c r="A88" s="69"/>
      <c r="B88" s="69"/>
      <c r="C88" s="103"/>
      <c r="D88" s="103"/>
      <c r="E88" s="103"/>
      <c r="F88" s="103"/>
      <c r="G88" s="103"/>
    </row>
    <row r="90" spans="1:7" ht="12.75" customHeight="1" x14ac:dyDescent="0.15">
      <c r="B90" s="88"/>
    </row>
    <row r="91" spans="1:7" ht="12.75" customHeight="1" x14ac:dyDescent="0.15">
      <c r="B91" s="69"/>
      <c r="C91" s="103"/>
      <c r="D91" s="103"/>
      <c r="E91" s="103"/>
      <c r="F91" s="103"/>
      <c r="G91" s="103"/>
    </row>
    <row r="93" spans="1:7" ht="12.75" customHeight="1" x14ac:dyDescent="0.15">
      <c r="B93" s="88"/>
    </row>
    <row r="95" spans="1:7" ht="12.75" customHeight="1" x14ac:dyDescent="0.15">
      <c r="B95" s="88"/>
    </row>
    <row r="96" spans="1:7" ht="12.75" customHeight="1" x14ac:dyDescent="0.15">
      <c r="B96" s="69"/>
      <c r="C96" s="103"/>
      <c r="D96" s="103"/>
      <c r="E96" s="103"/>
      <c r="F96" s="103"/>
      <c r="G96" s="103"/>
    </row>
    <row r="97" spans="2:2" ht="12.75" customHeight="1" x14ac:dyDescent="0.15">
      <c r="B97" s="69"/>
    </row>
    <row r="100" spans="2:2" ht="12.75" customHeight="1" x14ac:dyDescent="0.15">
      <c r="B100" s="88"/>
    </row>
  </sheetData>
  <mergeCells count="1">
    <mergeCell ref="B2:Q2"/>
  </mergeCells>
  <pageMargins left="0.75" right="0.75" top="1" bottom="1" header="0.511811023622047" footer="0.511811023622047"/>
  <pageSetup paperSize="9" scale="45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"/>
  <sheetViews>
    <sheetView showGridLines="0" zoomScaleNormal="100" workbookViewId="0">
      <selection activeCell="J35" sqref="J35"/>
    </sheetView>
  </sheetViews>
  <sheetFormatPr baseColWidth="10" defaultColWidth="8.83203125" defaultRowHeight="13" x14ac:dyDescent="0.15"/>
  <cols>
    <col min="1" max="1" width="2.6640625" style="56" customWidth="1"/>
    <col min="2" max="2" width="32" style="56" customWidth="1"/>
    <col min="3" max="17" width="11" style="110" customWidth="1"/>
    <col min="18" max="16384" width="8.83203125" style="110"/>
  </cols>
  <sheetData>
    <row r="1" spans="1:17" s="56" customFormat="1" ht="12.75" customHeight="1" x14ac:dyDescent="0.15"/>
    <row r="2" spans="1:17" s="56" customFormat="1" ht="17.25" customHeight="1" x14ac:dyDescent="0.2">
      <c r="B2" s="420" t="s">
        <v>0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</row>
    <row r="3" spans="1:17" s="56" customFormat="1" ht="12.75" customHeight="1" x14ac:dyDescent="0.15"/>
    <row r="4" spans="1:17" s="56" customFormat="1" ht="12.75" customHeight="1" x14ac:dyDescent="0.15">
      <c r="B4" s="124" t="s">
        <v>99</v>
      </c>
      <c r="C4" s="109">
        <f>'Income Statement'!C4</f>
        <v>2021</v>
      </c>
      <c r="D4" s="109">
        <f>'Income Statement'!D4</f>
        <v>2022</v>
      </c>
      <c r="E4" s="109">
        <f>'Income Statement'!E4</f>
        <v>2023</v>
      </c>
      <c r="F4" s="109">
        <f>'Income Statement'!F4</f>
        <v>2024</v>
      </c>
      <c r="G4" s="109">
        <f>'Income Statement'!G4</f>
        <v>2025</v>
      </c>
      <c r="H4" s="109">
        <f>'Income Statement'!H4</f>
        <v>2026</v>
      </c>
      <c r="I4" s="109">
        <f>'Income Statement'!I4</f>
        <v>2027</v>
      </c>
      <c r="J4" s="109">
        <f>'Income Statement'!J4</f>
        <v>2028</v>
      </c>
      <c r="K4" s="109">
        <f>'Income Statement'!K4</f>
        <v>2029</v>
      </c>
      <c r="L4" s="109">
        <f>'Income Statement'!L4</f>
        <v>2030</v>
      </c>
      <c r="M4" s="109">
        <f>'Income Statement'!M4</f>
        <v>2031</v>
      </c>
      <c r="N4" s="109">
        <f>'Income Statement'!N4</f>
        <v>2032</v>
      </c>
      <c r="O4" s="109">
        <f>'Income Statement'!O4</f>
        <v>2033</v>
      </c>
      <c r="P4" s="109">
        <f>'Income Statement'!P4</f>
        <v>2034</v>
      </c>
      <c r="Q4" s="109">
        <f>'Income Statement'!Q4</f>
        <v>2035</v>
      </c>
    </row>
    <row r="5" spans="1:17" s="56" customFormat="1" ht="12.75" customHeight="1" x14ac:dyDescent="0.15">
      <c r="B5" s="56" t="s">
        <v>100</v>
      </c>
      <c r="C5" s="71">
        <v>13.9</v>
      </c>
      <c r="D5" s="71">
        <f t="shared" ref="D5:Q5" si="0">C10</f>
        <v>11.99</v>
      </c>
      <c r="E5" s="71">
        <f t="shared" si="0"/>
        <v>10.43</v>
      </c>
      <c r="F5" s="71">
        <f t="shared" si="0"/>
        <v>9.3800000000000008</v>
      </c>
      <c r="G5" s="71">
        <f t="shared" si="0"/>
        <v>8.3800000000000008</v>
      </c>
      <c r="H5" s="71">
        <f t="shared" si="0"/>
        <v>9.51</v>
      </c>
      <c r="I5" s="71">
        <f t="shared" si="0"/>
        <v>9.0477410699999972</v>
      </c>
      <c r="J5" s="71">
        <f t="shared" si="0"/>
        <v>8.5466404358999952</v>
      </c>
      <c r="K5" s="71">
        <f t="shared" si="0"/>
        <v>8.0053112908329958</v>
      </c>
      <c r="L5" s="71">
        <f t="shared" si="0"/>
        <v>7.425812364234976</v>
      </c>
      <c r="M5" s="71">
        <f t="shared" si="0"/>
        <v>6.8111103597818357</v>
      </c>
      <c r="N5" s="71">
        <f t="shared" si="0"/>
        <v>6.1650652977851621</v>
      </c>
      <c r="O5" s="71">
        <f t="shared" si="0"/>
        <v>5.492379889250798</v>
      </c>
      <c r="P5" s="71">
        <f t="shared" si="0"/>
        <v>4.7949621002348497</v>
      </c>
      <c r="Q5" s="71">
        <f t="shared" si="0"/>
        <v>4.0742320729800054</v>
      </c>
    </row>
    <row r="6" spans="1:17" ht="12.75" customHeight="1" x14ac:dyDescent="0.15">
      <c r="B6" s="112" t="s">
        <v>101</v>
      </c>
      <c r="C6" s="71">
        <f>-'Income Statement'!C34</f>
        <v>0.7</v>
      </c>
      <c r="D6" s="71">
        <f>-'Income Statement'!D34</f>
        <v>0.83499999999999996</v>
      </c>
      <c r="E6" s="71">
        <f>-'Income Statement'!E34</f>
        <v>2.0179999999999998</v>
      </c>
      <c r="F6" s="71">
        <f>-'Income Statement'!F34</f>
        <v>1.0549999999999999</v>
      </c>
      <c r="G6" s="71">
        <f>-'Income Statement'!G34</f>
        <v>0.90300000000000002</v>
      </c>
      <c r="H6" s="71">
        <f>-'Income Statement'!H34</f>
        <v>4.1603303699999996</v>
      </c>
      <c r="I6" s="71">
        <f>-'Income Statement'!I34</f>
        <v>4.5099057069000006</v>
      </c>
      <c r="J6" s="71">
        <f>-'Income Statement'!J34</f>
        <v>4.8719623056030006</v>
      </c>
      <c r="K6" s="71">
        <f>-'Income Statement'!K34</f>
        <v>5.215490339382181</v>
      </c>
      <c r="L6" s="71">
        <f>-'Income Statement'!L34</f>
        <v>5.5323180400782714</v>
      </c>
      <c r="M6" s="71">
        <f>-'Income Statement'!M34</f>
        <v>5.814405557970062</v>
      </c>
      <c r="N6" s="71">
        <f>-'Income Statement'!N34</f>
        <v>6.0541686768092671</v>
      </c>
      <c r="O6" s="71">
        <f>-'Income Statement'!O34</f>
        <v>6.2767601011435339</v>
      </c>
      <c r="P6" s="71">
        <f>-'Income Statement'!P34</f>
        <v>6.4865702452935849</v>
      </c>
      <c r="Q6" s="71">
        <f>-'Income Statement'!Q34</f>
        <v>6.6811673526523929</v>
      </c>
    </row>
    <row r="7" spans="1:17" s="114" customFormat="1" ht="12.75" customHeight="1" x14ac:dyDescent="0.15">
      <c r="B7" s="114" t="s">
        <v>102</v>
      </c>
      <c r="C7" s="281">
        <v>0.83799999999999997</v>
      </c>
      <c r="D7" s="281">
        <v>1.109</v>
      </c>
      <c r="E7" s="281">
        <v>0.35599999999999998</v>
      </c>
      <c r="F7" s="281">
        <v>1.5580000000000001</v>
      </c>
      <c r="G7" s="281">
        <v>4.1639999999999997</v>
      </c>
      <c r="H7" s="281">
        <v>0</v>
      </c>
      <c r="I7" s="281">
        <v>0</v>
      </c>
      <c r="J7" s="281">
        <v>0</v>
      </c>
      <c r="K7" s="281">
        <v>0</v>
      </c>
      <c r="L7" s="281">
        <v>0</v>
      </c>
      <c r="M7" s="281">
        <v>0</v>
      </c>
      <c r="N7" s="281">
        <v>0</v>
      </c>
      <c r="O7" s="281">
        <v>0</v>
      </c>
      <c r="P7" s="281">
        <v>0</v>
      </c>
      <c r="Q7" s="281">
        <v>0</v>
      </c>
    </row>
    <row r="8" spans="1:17" ht="12.75" customHeight="1" x14ac:dyDescent="0.15">
      <c r="A8" s="69"/>
      <c r="B8" s="112" t="s">
        <v>103</v>
      </c>
      <c r="C8" s="78">
        <v>0</v>
      </c>
      <c r="D8" s="78">
        <v>0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</row>
    <row r="9" spans="1:17" ht="13.5" customHeight="1" x14ac:dyDescent="0.15">
      <c r="B9" s="112" t="s">
        <v>104</v>
      </c>
      <c r="C9" s="281">
        <v>-3.448</v>
      </c>
      <c r="D9" s="281">
        <v>-3.504</v>
      </c>
      <c r="E9" s="281">
        <v>-3.4239999999999999</v>
      </c>
      <c r="F9" s="281">
        <v>-3.613</v>
      </c>
      <c r="G9" s="281">
        <v>-3.9369999999999998</v>
      </c>
      <c r="H9" s="71">
        <f>'Income Statement'!H28</f>
        <v>-4.6225893000000005</v>
      </c>
      <c r="I9" s="71">
        <f>'Income Statement'!I28</f>
        <v>-5.0110063410000008</v>
      </c>
      <c r="J9" s="71">
        <f>'Income Statement'!J28</f>
        <v>-5.4132914506700009</v>
      </c>
      <c r="K9" s="71">
        <f>'Income Statement'!K28</f>
        <v>-5.7949892659802016</v>
      </c>
      <c r="L9" s="71">
        <f>'Income Statement'!L28</f>
        <v>-6.1470200445314127</v>
      </c>
      <c r="M9" s="71">
        <f>'Income Statement'!M28</f>
        <v>-6.4604506199667355</v>
      </c>
      <c r="N9" s="71">
        <f>'Income Statement'!N28</f>
        <v>-6.7268540853436312</v>
      </c>
      <c r="O9" s="71">
        <f>'Income Statement'!O28</f>
        <v>-6.9741778901594831</v>
      </c>
      <c r="P9" s="71">
        <f>'Income Statement'!P28</f>
        <v>-7.2073002725484292</v>
      </c>
      <c r="Q9" s="71">
        <f>'Income Statement'!Q28</f>
        <v>-7.4235192807248813</v>
      </c>
    </row>
    <row r="10" spans="1:17" s="114" customFormat="1" ht="13.5" customHeight="1" x14ac:dyDescent="0.15">
      <c r="B10" s="335" t="s">
        <v>105</v>
      </c>
      <c r="C10" s="339">
        <v>11.99</v>
      </c>
      <c r="D10" s="339">
        <v>10.43</v>
      </c>
      <c r="E10" s="339">
        <v>9.3800000000000008</v>
      </c>
      <c r="F10" s="339">
        <v>8.3800000000000008</v>
      </c>
      <c r="G10" s="339">
        <v>9.51</v>
      </c>
      <c r="H10" s="337">
        <f t="shared" ref="H10:Q10" si="1">+H5+H6+H7+H8+H9</f>
        <v>9.0477410699999972</v>
      </c>
      <c r="I10" s="337">
        <f t="shared" si="1"/>
        <v>8.5466404358999952</v>
      </c>
      <c r="J10" s="337">
        <f t="shared" si="1"/>
        <v>8.0053112908329958</v>
      </c>
      <c r="K10" s="337">
        <f t="shared" si="1"/>
        <v>7.425812364234976</v>
      </c>
      <c r="L10" s="337">
        <f t="shared" si="1"/>
        <v>6.8111103597818357</v>
      </c>
      <c r="M10" s="337">
        <f t="shared" si="1"/>
        <v>6.1650652977851621</v>
      </c>
      <c r="N10" s="337">
        <f t="shared" si="1"/>
        <v>5.492379889250798</v>
      </c>
      <c r="O10" s="337">
        <f t="shared" si="1"/>
        <v>4.7949621002348497</v>
      </c>
      <c r="P10" s="337">
        <f t="shared" si="1"/>
        <v>4.0742320729800054</v>
      </c>
      <c r="Q10" s="337">
        <f t="shared" si="1"/>
        <v>3.3318801449075162</v>
      </c>
    </row>
    <row r="11" spans="1:17" s="114" customFormat="1" ht="12.75" customHeight="1" x14ac:dyDescent="0.15">
      <c r="A11" s="69"/>
      <c r="B11" s="76"/>
      <c r="C11" s="103"/>
      <c r="D11" s="103"/>
      <c r="E11" s="103"/>
      <c r="F11" s="103"/>
      <c r="G11" s="103"/>
    </row>
    <row r="12" spans="1:17" ht="12.75" customHeight="1" x14ac:dyDescent="0.15">
      <c r="A12" s="69"/>
      <c r="B12" s="340" t="s">
        <v>106</v>
      </c>
      <c r="C12" s="103"/>
      <c r="D12" s="103"/>
      <c r="E12" s="103"/>
      <c r="F12" s="103"/>
      <c r="G12" s="103"/>
    </row>
    <row r="13" spans="1:17" ht="12.75" customHeight="1" x14ac:dyDescent="0.15">
      <c r="B13" s="341" t="s">
        <v>107</v>
      </c>
    </row>
    <row r="14" spans="1:17" ht="12.75" customHeight="1" x14ac:dyDescent="0.15">
      <c r="B14" s="341" t="s">
        <v>108</v>
      </c>
    </row>
    <row r="15" spans="1:17" ht="12.75" customHeight="1" x14ac:dyDescent="0.15">
      <c r="B15" s="341" t="s">
        <v>109</v>
      </c>
    </row>
    <row r="16" spans="1:17" ht="12.75" customHeight="1" x14ac:dyDescent="0.15">
      <c r="B16" s="56" t="s">
        <v>110</v>
      </c>
    </row>
  </sheetData>
  <mergeCells count="1">
    <mergeCell ref="B2:Q2"/>
  </mergeCells>
  <pageMargins left="0.75" right="0.75" top="1" bottom="1" header="0.511811023622047" footer="0.511811023622047"/>
  <pageSetup paperSize="9" scale="45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9"/>
  <sheetViews>
    <sheetView showGridLines="0" zoomScaleNormal="100" workbookViewId="0">
      <selection activeCell="C5" sqref="C5"/>
    </sheetView>
  </sheetViews>
  <sheetFormatPr baseColWidth="10" defaultColWidth="11" defaultRowHeight="13" x14ac:dyDescent="0.15"/>
  <cols>
    <col min="1" max="1" width="2.6640625" style="56" customWidth="1"/>
    <col min="2" max="2" width="36" style="56" customWidth="1"/>
    <col min="3" max="16384" width="11" style="110"/>
  </cols>
  <sheetData>
    <row r="1" spans="1:17" s="56" customFormat="1" ht="12.75" customHeight="1" x14ac:dyDescent="0.15"/>
    <row r="2" spans="1:17" s="56" customFormat="1" ht="17.25" customHeight="1" x14ac:dyDescent="0.2">
      <c r="B2" s="420" t="s">
        <v>111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</row>
    <row r="3" spans="1:17" s="56" customFormat="1" ht="12.75" customHeight="1" x14ac:dyDescent="0.15"/>
    <row r="4" spans="1:17" s="56" customFormat="1" ht="12.75" customHeight="1" x14ac:dyDescent="0.15">
      <c r="B4" s="124" t="s">
        <v>99</v>
      </c>
      <c r="C4" s="125">
        <f>'Income Statement'!C4</f>
        <v>2021</v>
      </c>
      <c r="D4" s="125">
        <f>'Income Statement'!D4</f>
        <v>2022</v>
      </c>
      <c r="E4" s="125">
        <f>'Income Statement'!E4</f>
        <v>2023</v>
      </c>
      <c r="F4" s="125">
        <f>'Income Statement'!F4</f>
        <v>2024</v>
      </c>
      <c r="G4" s="125">
        <f>'Income Statement'!G4</f>
        <v>2025</v>
      </c>
      <c r="H4" s="342"/>
      <c r="I4" s="342"/>
      <c r="J4" s="342"/>
      <c r="K4" s="342"/>
      <c r="L4" s="342"/>
      <c r="M4" s="342"/>
      <c r="N4" s="342"/>
      <c r="O4" s="342"/>
      <c r="P4" s="342"/>
      <c r="Q4" s="342"/>
    </row>
    <row r="5" spans="1:17" s="56" customFormat="1" ht="12.75" customHeight="1" x14ac:dyDescent="0.15">
      <c r="B5" s="56" t="s">
        <v>100</v>
      </c>
      <c r="C5" s="71">
        <f>+C8-C7-C6</f>
        <v>10.422000000000001</v>
      </c>
      <c r="D5" s="71">
        <f>C8</f>
        <v>8.8320000000000007</v>
      </c>
      <c r="E5" s="71">
        <f>D8</f>
        <v>7.242</v>
      </c>
      <c r="F5" s="71">
        <f>E8</f>
        <v>5.1120000000000001</v>
      </c>
      <c r="G5" s="71">
        <f>F8</f>
        <v>3.665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1:17" ht="12.75" customHeight="1" x14ac:dyDescent="0.15">
      <c r="B6" s="112" t="s">
        <v>112</v>
      </c>
      <c r="C6" s="71">
        <v>0</v>
      </c>
      <c r="D6" s="71">
        <v>0</v>
      </c>
      <c r="E6" s="71">
        <v>0</v>
      </c>
      <c r="F6" s="71">
        <v>0</v>
      </c>
      <c r="G6" s="71">
        <v>0</v>
      </c>
    </row>
    <row r="7" spans="1:17" s="114" customFormat="1" ht="15" customHeight="1" x14ac:dyDescent="0.15">
      <c r="A7" s="69"/>
      <c r="B7" s="112" t="s">
        <v>113</v>
      </c>
      <c r="C7" s="78">
        <f>+D7</f>
        <v>-1.5900000000000007</v>
      </c>
      <c r="D7" s="78">
        <f>+D8-D5</f>
        <v>-1.5900000000000007</v>
      </c>
      <c r="E7" s="78">
        <f>+E8-E5</f>
        <v>-2.13</v>
      </c>
      <c r="F7" s="78">
        <f>+F8-F5</f>
        <v>-1.4470000000000001</v>
      </c>
      <c r="G7" s="78">
        <f>+G8-G5</f>
        <v>-4.3000000000000149E-2</v>
      </c>
    </row>
    <row r="8" spans="1:17" ht="13.5" customHeight="1" x14ac:dyDescent="0.15">
      <c r="B8" s="305" t="s">
        <v>105</v>
      </c>
      <c r="C8" s="343">
        <v>8.8320000000000007</v>
      </c>
      <c r="D8" s="343">
        <v>7.242</v>
      </c>
      <c r="E8" s="343">
        <v>5.1120000000000001</v>
      </c>
      <c r="F8" s="343">
        <v>3.665</v>
      </c>
      <c r="G8" s="343">
        <v>3.6219999999999999</v>
      </c>
      <c r="H8" s="344"/>
      <c r="I8" s="344"/>
      <c r="J8" s="344"/>
      <c r="K8" s="344"/>
      <c r="L8" s="344"/>
      <c r="M8" s="344"/>
      <c r="N8" s="344"/>
      <c r="O8" s="344"/>
      <c r="P8" s="344"/>
      <c r="Q8" s="344"/>
    </row>
    <row r="9" spans="1:17" s="114" customFormat="1" ht="13.5" customHeight="1" x14ac:dyDescent="0.15">
      <c r="A9" s="69"/>
      <c r="B9" s="76"/>
      <c r="C9" s="103"/>
      <c r="D9" s="103"/>
      <c r="E9" s="103"/>
      <c r="F9" s="103"/>
      <c r="G9" s="103"/>
    </row>
    <row r="10" spans="1:17" s="114" customFormat="1" ht="12.75" customHeight="1" x14ac:dyDescent="0.15">
      <c r="A10" s="69"/>
      <c r="B10" s="345" t="s">
        <v>114</v>
      </c>
      <c r="C10" s="346">
        <v>7.4999999999999997E-2</v>
      </c>
      <c r="D10" s="103"/>
      <c r="E10" s="103"/>
      <c r="F10" s="103"/>
      <c r="G10" s="103"/>
    </row>
    <row r="11" spans="1:17" ht="12.75" customHeight="1" x14ac:dyDescent="0.15">
      <c r="B11" s="111"/>
    </row>
    <row r="12" spans="1:17" ht="12.75" customHeight="1" x14ac:dyDescent="0.15">
      <c r="B12" s="345" t="s">
        <v>34</v>
      </c>
      <c r="C12" s="347">
        <f>+C5*$C$10</f>
        <v>0.78165000000000007</v>
      </c>
      <c r="D12" s="347">
        <f>+D5*$C$10</f>
        <v>0.66239999999999999</v>
      </c>
      <c r="E12" s="347">
        <f>+E5*$C$10</f>
        <v>0.54315000000000002</v>
      </c>
      <c r="F12" s="347">
        <f>+F5*$C$10</f>
        <v>0.38340000000000002</v>
      </c>
      <c r="G12" s="347">
        <f>+G5*$C$10</f>
        <v>0.27487499999999998</v>
      </c>
      <c r="H12" s="348"/>
      <c r="I12" s="348"/>
      <c r="J12" s="348"/>
      <c r="K12" s="348"/>
      <c r="L12" s="348"/>
      <c r="M12" s="348"/>
      <c r="N12" s="348"/>
      <c r="O12" s="348"/>
      <c r="P12" s="348"/>
      <c r="Q12" s="349"/>
    </row>
    <row r="13" spans="1:17" s="114" customFormat="1" ht="12.75" customHeight="1" x14ac:dyDescent="0.15">
      <c r="A13" s="69"/>
      <c r="B13" s="117"/>
      <c r="C13" s="103"/>
      <c r="D13" s="103"/>
      <c r="E13" s="103"/>
      <c r="F13" s="103"/>
      <c r="G13" s="103"/>
    </row>
    <row r="14" spans="1:17" ht="13.5" customHeight="1" x14ac:dyDescent="0.15">
      <c r="B14" s="350" t="s">
        <v>115</v>
      </c>
      <c r="H14" s="351"/>
      <c r="I14" s="116"/>
      <c r="J14" s="116"/>
    </row>
    <row r="15" spans="1:17" ht="12.75" customHeight="1" x14ac:dyDescent="0.15">
      <c r="B15" s="341" t="s">
        <v>116</v>
      </c>
    </row>
    <row r="16" spans="1:17" ht="12.75" customHeight="1" x14ac:dyDescent="0.15">
      <c r="B16" s="341" t="s">
        <v>117</v>
      </c>
    </row>
    <row r="17" spans="2:2" ht="12.75" customHeight="1" x14ac:dyDescent="0.15">
      <c r="B17" s="341" t="s">
        <v>118</v>
      </c>
    </row>
    <row r="18" spans="2:2" ht="12.75" customHeight="1" x14ac:dyDescent="0.15">
      <c r="B18" s="341" t="s">
        <v>119</v>
      </c>
    </row>
    <row r="19" spans="2:2" ht="12.75" customHeight="1" x14ac:dyDescent="0.15">
      <c r="B19" s="341" t="s">
        <v>120</v>
      </c>
    </row>
  </sheetData>
  <mergeCells count="1">
    <mergeCell ref="B2:Q2"/>
  </mergeCells>
  <pageMargins left="0.75" right="0.75" top="1" bottom="1" header="0.511811023622047" footer="0.511811023622047"/>
  <pageSetup paperSize="9" scale="46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Q106"/>
  <sheetViews>
    <sheetView showGridLines="0" zoomScale="112" zoomScaleNormal="100" workbookViewId="0">
      <selection activeCell="G86" sqref="G86"/>
    </sheetView>
  </sheetViews>
  <sheetFormatPr baseColWidth="10" defaultColWidth="8.83203125" defaultRowHeight="13" x14ac:dyDescent="0.15"/>
  <cols>
    <col min="1" max="1" width="2.6640625" style="56" customWidth="1"/>
    <col min="2" max="2" width="38" style="56" customWidth="1"/>
    <col min="3" max="5" width="11" style="110" customWidth="1"/>
    <col min="6" max="6" width="23.33203125" style="110" customWidth="1"/>
    <col min="7" max="12" width="11" style="110" customWidth="1"/>
    <col min="13" max="16" width="8.83203125" style="110"/>
    <col min="17" max="17" width="17.33203125" style="110" customWidth="1"/>
    <col min="18" max="18" width="8.83203125" style="110"/>
    <col min="19" max="19" width="13.6640625" style="110" customWidth="1"/>
    <col min="20" max="20" width="9.1640625" style="110" customWidth="1"/>
    <col min="21" max="16384" width="8.83203125" style="110"/>
  </cols>
  <sheetData>
    <row r="1" spans="2:12" s="56" customFormat="1" ht="12.75" customHeight="1" x14ac:dyDescent="0.15"/>
    <row r="2" spans="2:12" s="56" customFormat="1" ht="17.25" customHeight="1" x14ac:dyDescent="0.2">
      <c r="B2" s="420" t="s">
        <v>161</v>
      </c>
      <c r="C2" s="420"/>
      <c r="D2" s="420"/>
      <c r="E2" s="420"/>
      <c r="F2" s="420"/>
      <c r="G2" s="420"/>
      <c r="H2" s="420"/>
      <c r="I2" s="420"/>
      <c r="J2" s="420"/>
      <c r="K2" s="420"/>
      <c r="L2" s="420"/>
    </row>
    <row r="3" spans="2:12" s="56" customFormat="1" ht="12.75" customHeight="1" x14ac:dyDescent="0.15">
      <c r="B3" s="69"/>
      <c r="D3" s="70" t="s">
        <v>99</v>
      </c>
    </row>
    <row r="4" spans="2:12" s="56" customFormat="1" ht="14" customHeight="1" x14ac:dyDescent="0.15">
      <c r="B4" s="56" t="s">
        <v>162</v>
      </c>
      <c r="D4" s="71">
        <f>'Income Statement'!G25</f>
        <v>296.202</v>
      </c>
      <c r="I4" s="72" t="s">
        <v>163</v>
      </c>
    </row>
    <row r="5" spans="2:12" s="56" customFormat="1" ht="12.75" customHeight="1" x14ac:dyDescent="0.15">
      <c r="B5" s="56" t="s">
        <v>164</v>
      </c>
      <c r="D5" s="71">
        <f>+'Income Statement'!H25</f>
        <v>325.89254564999999</v>
      </c>
      <c r="I5" s="53" t="s">
        <v>165</v>
      </c>
      <c r="K5" s="54">
        <f>Assumptions!C14</f>
        <v>0.05</v>
      </c>
      <c r="L5" s="73" t="s">
        <v>166</v>
      </c>
    </row>
    <row r="6" spans="2:12" s="56" customFormat="1" ht="12.75" customHeight="1" x14ac:dyDescent="0.15">
      <c r="B6" s="56" t="s">
        <v>167</v>
      </c>
      <c r="C6" s="74">
        <f>Assumptions!C9</f>
        <v>12.5</v>
      </c>
      <c r="I6" s="53" t="s">
        <v>168</v>
      </c>
      <c r="K6" s="54">
        <f>Assumptions!C15</f>
        <v>0.5</v>
      </c>
      <c r="L6" s="73" t="s">
        <v>169</v>
      </c>
    </row>
    <row r="7" spans="2:12" s="56" customFormat="1" ht="12.75" customHeight="1" x14ac:dyDescent="0.15">
      <c r="B7" s="56" t="s">
        <v>170</v>
      </c>
      <c r="C7" s="51">
        <f>Assumptions!C11</f>
        <v>8</v>
      </c>
      <c r="I7" s="53" t="s">
        <v>171</v>
      </c>
      <c r="K7" s="55">
        <f>Assumptions!C16</f>
        <v>200</v>
      </c>
      <c r="L7" s="73" t="s">
        <v>172</v>
      </c>
    </row>
    <row r="8" spans="2:12" s="56" customFormat="1" ht="12.75" customHeight="1" x14ac:dyDescent="0.15">
      <c r="B8" s="56" t="s">
        <v>173</v>
      </c>
      <c r="D8" s="75">
        <f>+D4*C7</f>
        <v>2369.616</v>
      </c>
      <c r="I8" s="53" t="s">
        <v>174</v>
      </c>
      <c r="K8" s="54">
        <f>Assumptions!C17</f>
        <v>7.4999999999999997E-2</v>
      </c>
      <c r="L8" s="73" t="s">
        <v>175</v>
      </c>
    </row>
    <row r="9" spans="2:12" s="56" customFormat="1" ht="12.75" customHeight="1" x14ac:dyDescent="0.15">
      <c r="B9" s="76" t="s">
        <v>176</v>
      </c>
      <c r="C9" s="77">
        <f>Assumptions!C12</f>
        <v>5.5</v>
      </c>
      <c r="D9" s="78">
        <f>+C9*D4</f>
        <v>1629.1109999999999</v>
      </c>
      <c r="E9" s="79">
        <f>Assumptions!F12</f>
        <v>6.5000000000000002E-2</v>
      </c>
      <c r="F9" s="80" t="s">
        <v>177</v>
      </c>
      <c r="G9" s="78">
        <f>+D9*E9</f>
        <v>105.89221499999999</v>
      </c>
      <c r="I9" s="53" t="s">
        <v>178</v>
      </c>
      <c r="K9" s="54">
        <f>Assumptions!C18</f>
        <v>5.0000000000000001E-3</v>
      </c>
      <c r="L9" s="73" t="s">
        <v>179</v>
      </c>
    </row>
    <row r="10" spans="2:12" s="56" customFormat="1" ht="12.75" customHeight="1" x14ac:dyDescent="0.15">
      <c r="B10" s="76" t="s">
        <v>180</v>
      </c>
      <c r="C10" s="77">
        <f>C7-C9</f>
        <v>2.5</v>
      </c>
      <c r="D10" s="78">
        <f>+C10*D4</f>
        <v>740.505</v>
      </c>
      <c r="E10" s="79">
        <f>Assumptions!F13</f>
        <v>9.5000000000000001E-2</v>
      </c>
      <c r="F10" s="80" t="s">
        <v>181</v>
      </c>
      <c r="G10" s="78">
        <f>+D10*E10</f>
        <v>70.347975000000005</v>
      </c>
    </row>
    <row r="11" spans="2:12" s="56" customFormat="1" ht="12.75" customHeight="1" x14ac:dyDescent="0.15">
      <c r="B11" s="81" t="s">
        <v>135</v>
      </c>
      <c r="C11" s="82"/>
      <c r="D11" s="83">
        <f>+C6*D4</f>
        <v>3702.5250000000001</v>
      </c>
      <c r="E11" s="84" t="s">
        <v>182</v>
      </c>
      <c r="F11" s="85">
        <f ca="1">D12/D14</f>
        <v>0.3883204594575187</v>
      </c>
      <c r="G11" s="86">
        <f>+(G9+G10)/D8</f>
        <v>7.4374999999999997E-2</v>
      </c>
      <c r="H11" s="56" t="s">
        <v>183</v>
      </c>
    </row>
    <row r="12" spans="2:12" s="56" customFormat="1" ht="12.75" customHeight="1" x14ac:dyDescent="0.15">
      <c r="B12" s="87" t="s">
        <v>184</v>
      </c>
      <c r="C12" s="88"/>
      <c r="D12" s="89">
        <f ca="1">+D14-D8</f>
        <v>1504.3340717948722</v>
      </c>
      <c r="E12" s="84" t="s">
        <v>185</v>
      </c>
      <c r="F12" s="85">
        <f ca="1">D8/D14</f>
        <v>0.6116795405424813</v>
      </c>
    </row>
    <row r="13" spans="2:12" s="56" customFormat="1" ht="12" customHeight="1" x14ac:dyDescent="0.15">
      <c r="B13" s="90" t="s">
        <v>335</v>
      </c>
      <c r="C13" s="91"/>
      <c r="D13" s="92">
        <f ca="1">G22-D11</f>
        <v>171.42507179487211</v>
      </c>
      <c r="E13" s="88"/>
      <c r="F13" s="93"/>
    </row>
    <row r="14" spans="2:12" s="56" customFormat="1" ht="17" customHeight="1" thickBot="1" x14ac:dyDescent="0.2">
      <c r="B14" s="94" t="s">
        <v>336</v>
      </c>
      <c r="C14" s="94"/>
      <c r="D14" s="95">
        <f ca="1">SUM(D11+D13)</f>
        <v>3873.9500717948722</v>
      </c>
      <c r="E14" s="88"/>
      <c r="F14" s="93"/>
    </row>
    <row r="15" spans="2:12" s="56" customFormat="1" ht="29" customHeight="1" thickTop="1" x14ac:dyDescent="0.15">
      <c r="B15" s="88"/>
      <c r="C15" s="88"/>
      <c r="D15" s="75"/>
      <c r="E15" s="88"/>
      <c r="F15" s="93"/>
    </row>
    <row r="16" spans="2:12" s="56" customFormat="1" ht="25" customHeight="1" x14ac:dyDescent="0.15">
      <c r="B16" s="418" t="s">
        <v>313</v>
      </c>
      <c r="C16" s="418"/>
      <c r="D16" s="418"/>
      <c r="E16" s="418"/>
      <c r="F16" s="418" t="s">
        <v>314</v>
      </c>
      <c r="G16" s="418"/>
      <c r="H16" s="418"/>
      <c r="I16" s="418"/>
    </row>
    <row r="17" spans="1:12" s="56" customFormat="1" ht="27" customHeight="1" x14ac:dyDescent="0.15">
      <c r="B17" s="96" t="s">
        <v>322</v>
      </c>
      <c r="C17" s="97">
        <f>D4*C9</f>
        <v>1629.1109999999999</v>
      </c>
      <c r="D17" s="97">
        <f>E4*D9</f>
        <v>0</v>
      </c>
      <c r="E17" s="98"/>
      <c r="F17" s="96" t="s">
        <v>338</v>
      </c>
      <c r="G17" s="97">
        <f>D11</f>
        <v>3702.5250000000001</v>
      </c>
      <c r="H17" s="99"/>
      <c r="I17" s="98"/>
    </row>
    <row r="18" spans="1:12" s="56" customFormat="1" ht="28.5" customHeight="1" x14ac:dyDescent="0.15">
      <c r="B18" s="96" t="s">
        <v>323</v>
      </c>
      <c r="C18" s="97">
        <f>D4*C10</f>
        <v>740.505</v>
      </c>
      <c r="D18" s="98"/>
      <c r="E18" s="98"/>
      <c r="F18" s="96" t="s">
        <v>317</v>
      </c>
      <c r="G18" s="97">
        <f>'Balance Sheet'!G25+'Balance Sheet'!G31</f>
        <v>7.1839999999999993</v>
      </c>
      <c r="H18" s="99"/>
      <c r="I18" s="98"/>
      <c r="J18" s="404"/>
    </row>
    <row r="19" spans="1:12" s="56" customFormat="1" ht="29.25" customHeight="1" x14ac:dyDescent="0.15">
      <c r="B19" s="96" t="s">
        <v>315</v>
      </c>
      <c r="C19" s="97">
        <f ca="1">G22-C17-C18</f>
        <v>1504.3340717948722</v>
      </c>
      <c r="D19" s="98"/>
      <c r="E19" s="100">
        <f>Assumptions!C21</f>
        <v>2.5000000000000001E-2</v>
      </c>
      <c r="F19" s="96" t="s">
        <v>318</v>
      </c>
      <c r="G19" s="97">
        <f ca="1">D14*E19</f>
        <v>96.848751794871816</v>
      </c>
      <c r="H19" s="99"/>
      <c r="I19" s="98"/>
    </row>
    <row r="20" spans="1:12" s="56" customFormat="1" ht="26.25" customHeight="1" x14ac:dyDescent="0.15">
      <c r="E20" s="103">
        <f>Assumptions!C22</f>
        <v>0.02</v>
      </c>
      <c r="F20" s="96" t="s">
        <v>319</v>
      </c>
      <c r="G20" s="97">
        <f>(C17+C18)*Assumptions!C22</f>
        <v>47.392319999999998</v>
      </c>
      <c r="H20" s="99"/>
      <c r="I20" s="98"/>
    </row>
    <row r="21" spans="1:12" s="56" customFormat="1" ht="24" customHeight="1" x14ac:dyDescent="0.15">
      <c r="B21" s="98"/>
      <c r="C21" s="98"/>
      <c r="D21" s="98"/>
      <c r="E21" s="98"/>
      <c r="F21" s="96" t="s">
        <v>320</v>
      </c>
      <c r="G21" s="97">
        <f>Assumptions!C23</f>
        <v>20</v>
      </c>
      <c r="H21" s="99"/>
      <c r="I21" s="98"/>
    </row>
    <row r="22" spans="1:12" s="56" customFormat="1" ht="19" customHeight="1" x14ac:dyDescent="0.15">
      <c r="B22" s="101" t="s">
        <v>316</v>
      </c>
      <c r="C22" s="102">
        <f ca="1">C17+C18+C19</f>
        <v>3873.9500717948722</v>
      </c>
      <c r="D22" s="98"/>
      <c r="E22" s="98"/>
      <c r="F22" s="101" t="s">
        <v>321</v>
      </c>
      <c r="G22" s="104">
        <f ca="1">SUM(G17:G21)</f>
        <v>3873.9500717948722</v>
      </c>
      <c r="I22" s="98"/>
    </row>
    <row r="23" spans="1:12" s="56" customFormat="1" ht="23" customHeight="1" x14ac:dyDescent="0.15">
      <c r="B23" s="18"/>
      <c r="C23" s="18"/>
      <c r="D23" s="18"/>
      <c r="E23" s="18"/>
      <c r="F23" s="105"/>
      <c r="G23" s="106"/>
      <c r="H23" s="18"/>
      <c r="I23" s="18"/>
    </row>
    <row r="24" spans="1:12" s="56" customFormat="1" ht="12.75" customHeight="1" x14ac:dyDescent="0.15">
      <c r="B24" s="107" t="s">
        <v>19</v>
      </c>
      <c r="C24" s="108">
        <f>'Income Statement'!H4</f>
        <v>2026</v>
      </c>
      <c r="D24" s="109">
        <f>'Income Statement'!I4</f>
        <v>2027</v>
      </c>
      <c r="E24" s="109">
        <f>'Income Statement'!J4</f>
        <v>2028</v>
      </c>
      <c r="F24" s="109">
        <f>'Income Statement'!K4</f>
        <v>2029</v>
      </c>
      <c r="G24" s="109">
        <f>'Income Statement'!L4</f>
        <v>2030</v>
      </c>
      <c r="H24" s="109">
        <f>'Income Statement'!M4</f>
        <v>2031</v>
      </c>
      <c r="I24" s="109">
        <f>'Income Statement'!N4</f>
        <v>2032</v>
      </c>
      <c r="J24" s="109">
        <f>'Income Statement'!O4</f>
        <v>2033</v>
      </c>
      <c r="K24" s="109">
        <f>'Income Statement'!P4</f>
        <v>2034</v>
      </c>
      <c r="L24" s="109">
        <f>'Income Statement'!Q4</f>
        <v>2035</v>
      </c>
    </row>
    <row r="25" spans="1:12" ht="12.75" customHeight="1" x14ac:dyDescent="0.15">
      <c r="B25" s="88"/>
    </row>
    <row r="26" spans="1:12" ht="12.75" customHeight="1" x14ac:dyDescent="0.15">
      <c r="A26" s="69"/>
      <c r="B26" s="111" t="s">
        <v>186</v>
      </c>
      <c r="C26" s="71">
        <f>DCF!D20</f>
        <v>241.29424191148695</v>
      </c>
      <c r="D26" s="71">
        <f>DCF!E20</f>
        <v>263.92184699428282</v>
      </c>
      <c r="E26" s="71">
        <f>DCF!F20</f>
        <v>287.11998614126753</v>
      </c>
      <c r="F26" s="71">
        <f>DCF!G20</f>
        <v>308.63509481266271</v>
      </c>
      <c r="G26" s="71">
        <f>DCF!H20</f>
        <v>328.26230581591653</v>
      </c>
      <c r="H26" s="71">
        <f>DCF!I20</f>
        <v>344.96300786001098</v>
      </c>
      <c r="I26" s="71">
        <f>DCF!J20</f>
        <v>359.13092573927395</v>
      </c>
      <c r="J26" s="71">
        <f>DCF!K20</f>
        <v>372.30751237245386</v>
      </c>
      <c r="K26" s="71">
        <f>DCF!L20</f>
        <v>384.7310906864069</v>
      </c>
      <c r="L26" s="71">
        <f>DCF!M20</f>
        <v>396.25030533679478</v>
      </c>
    </row>
    <row r="27" spans="1:12" ht="12.75" customHeight="1" x14ac:dyDescent="0.15">
      <c r="B27" s="111"/>
    </row>
    <row r="28" spans="1:12" ht="12.75" customHeight="1" x14ac:dyDescent="0.15">
      <c r="B28" s="111" t="s">
        <v>187</v>
      </c>
    </row>
    <row r="29" spans="1:12" s="114" customFormat="1" ht="12.75" customHeight="1" x14ac:dyDescent="0.15">
      <c r="A29" s="69"/>
      <c r="B29" s="112" t="s">
        <v>188</v>
      </c>
      <c r="C29" s="113">
        <f t="shared" ref="C29:L29" si="0">+C78</f>
        <v>-177.24018999999998</v>
      </c>
      <c r="D29" s="113">
        <f t="shared" si="0"/>
        <v>-173.16368411619592</v>
      </c>
      <c r="E29" s="113">
        <f t="shared" si="0"/>
        <v>-167.14978913196035</v>
      </c>
      <c r="F29" s="113">
        <f t="shared" si="0"/>
        <v>-159.80229680365971</v>
      </c>
      <c r="G29" s="113">
        <f t="shared" si="0"/>
        <v>-152.31792549336711</v>
      </c>
      <c r="H29" s="113">
        <f t="shared" si="0"/>
        <v>-143.95242775788427</v>
      </c>
      <c r="I29" s="113">
        <f t="shared" si="0"/>
        <v>-134.77227852956514</v>
      </c>
      <c r="J29" s="113">
        <f t="shared" si="0"/>
        <v>-124.83331712024963</v>
      </c>
      <c r="K29" s="113">
        <f t="shared" si="0"/>
        <v>-63.190731370249615</v>
      </c>
      <c r="L29" s="113">
        <f t="shared" si="0"/>
        <v>-40.640395991409008</v>
      </c>
    </row>
    <row r="30" spans="1:12" s="114" customFormat="1" ht="12.75" customHeight="1" x14ac:dyDescent="0.15">
      <c r="A30" s="69"/>
      <c r="B30" s="115" t="s">
        <v>189</v>
      </c>
      <c r="C30" s="113">
        <f t="shared" ref="C30:L30" si="1">+C79</f>
        <v>-64.054051911486951</v>
      </c>
      <c r="D30" s="113">
        <f t="shared" si="1"/>
        <v>-92.063275234725353</v>
      </c>
      <c r="E30" s="113">
        <f t="shared" si="1"/>
        <v>-112.15795279748473</v>
      </c>
      <c r="F30" s="113">
        <f t="shared" si="1"/>
        <v>-115.14417400450151</v>
      </c>
      <c r="G30" s="113">
        <f t="shared" si="1"/>
        <v>-128.69996516127472</v>
      </c>
      <c r="H30" s="113">
        <f t="shared" si="1"/>
        <v>-141.23306505106336</v>
      </c>
      <c r="I30" s="113">
        <f t="shared" si="1"/>
        <v>-152.90709860485441</v>
      </c>
      <c r="J30" s="113">
        <f t="shared" si="1"/>
        <v>-621.96055000000001</v>
      </c>
      <c r="K30" s="113">
        <f t="shared" si="1"/>
        <v>-336.54035931615726</v>
      </c>
      <c r="L30" s="113">
        <f t="shared" si="1"/>
        <v>-283.49032501461426</v>
      </c>
    </row>
    <row r="31" spans="1:12" s="114" customFormat="1" ht="12.75" customHeight="1" x14ac:dyDescent="0.15">
      <c r="A31" s="69"/>
      <c r="B31" s="112"/>
      <c r="C31" s="110"/>
      <c r="D31" s="110"/>
      <c r="E31" s="110"/>
      <c r="F31" s="110"/>
      <c r="G31" s="110"/>
      <c r="H31" s="110"/>
      <c r="I31" s="116"/>
      <c r="J31" s="110"/>
      <c r="K31" s="110"/>
      <c r="L31" s="110"/>
    </row>
    <row r="32" spans="1:12" s="114" customFormat="1" ht="12.75" customHeight="1" x14ac:dyDescent="0.15">
      <c r="A32" s="69"/>
      <c r="B32" s="117"/>
    </row>
    <row r="33" spans="1:17" s="114" customFormat="1" ht="13.5" customHeight="1" x14ac:dyDescent="0.15">
      <c r="A33" s="69"/>
      <c r="B33" s="118" t="s">
        <v>190</v>
      </c>
      <c r="C33" s="119">
        <f t="shared" ref="C33:L33" si="2">+C26+C29+C30</f>
        <v>0</v>
      </c>
      <c r="D33" s="119">
        <f t="shared" si="2"/>
        <v>-1.3051123566384604</v>
      </c>
      <c r="E33" s="119">
        <f t="shared" si="2"/>
        <v>7.8122442118224598</v>
      </c>
      <c r="F33" s="119">
        <f t="shared" si="2"/>
        <v>33.688624004501492</v>
      </c>
      <c r="G33" s="119">
        <f t="shared" si="2"/>
        <v>47.244415161274702</v>
      </c>
      <c r="H33" s="119">
        <f t="shared" si="2"/>
        <v>59.777515051063347</v>
      </c>
      <c r="I33" s="119">
        <f t="shared" si="2"/>
        <v>71.451548604854395</v>
      </c>
      <c r="J33" s="119">
        <f t="shared" si="2"/>
        <v>-374.48635474779576</v>
      </c>
      <c r="K33" s="119">
        <f t="shared" si="2"/>
        <v>-15</v>
      </c>
      <c r="L33" s="119">
        <f t="shared" si="2"/>
        <v>72.119584330771488</v>
      </c>
    </row>
    <row r="34" spans="1:17" ht="13.5" customHeight="1" x14ac:dyDescent="0.15">
      <c r="B34" s="120"/>
    </row>
    <row r="35" spans="1:17" ht="12.75" customHeight="1" x14ac:dyDescent="0.15">
      <c r="B35" s="111"/>
    </row>
    <row r="36" spans="1:17" s="114" customFormat="1" ht="13.5" customHeight="1" x14ac:dyDescent="0.15">
      <c r="A36" s="69"/>
      <c r="B36" s="121" t="s">
        <v>191</v>
      </c>
    </row>
    <row r="37" spans="1:17" ht="12.75" customHeight="1" x14ac:dyDescent="0.15">
      <c r="B37" s="122" t="s">
        <v>192</v>
      </c>
      <c r="C37" s="123">
        <v>1</v>
      </c>
      <c r="D37" s="123">
        <f t="shared" ref="D37:L37" si="3">+C37+1</f>
        <v>2</v>
      </c>
      <c r="E37" s="123">
        <f t="shared" si="3"/>
        <v>3</v>
      </c>
      <c r="F37" s="123">
        <f t="shared" si="3"/>
        <v>4</v>
      </c>
      <c r="G37" s="123">
        <f t="shared" si="3"/>
        <v>5</v>
      </c>
      <c r="H37" s="123">
        <f t="shared" si="3"/>
        <v>6</v>
      </c>
      <c r="I37" s="123">
        <f t="shared" si="3"/>
        <v>7</v>
      </c>
      <c r="J37" s="123">
        <f t="shared" si="3"/>
        <v>8</v>
      </c>
      <c r="K37" s="123">
        <f t="shared" si="3"/>
        <v>9</v>
      </c>
      <c r="L37" s="123">
        <f t="shared" si="3"/>
        <v>10</v>
      </c>
    </row>
    <row r="38" spans="1:17" ht="12.75" customHeight="1" x14ac:dyDescent="0.15">
      <c r="B38" s="124" t="s">
        <v>99</v>
      </c>
      <c r="C38" s="125">
        <f>'Income Statement'!H4</f>
        <v>2026</v>
      </c>
      <c r="D38" s="125">
        <f>'Income Statement'!I4</f>
        <v>2027</v>
      </c>
      <c r="E38" s="125">
        <f>'Income Statement'!J4</f>
        <v>2028</v>
      </c>
      <c r="F38" s="125">
        <f>'Income Statement'!K4</f>
        <v>2029</v>
      </c>
      <c r="G38" s="125">
        <f>'Income Statement'!L4</f>
        <v>2030</v>
      </c>
      <c r="H38" s="125">
        <f>'Income Statement'!M4</f>
        <v>2031</v>
      </c>
      <c r="I38" s="125">
        <f>'Income Statement'!N4</f>
        <v>2032</v>
      </c>
      <c r="J38" s="125">
        <f>'Income Statement'!O4</f>
        <v>2033</v>
      </c>
      <c r="K38" s="125">
        <f>'Income Statement'!P4</f>
        <v>2034</v>
      </c>
      <c r="L38" s="125">
        <f>'Income Statement'!Q4</f>
        <v>2035</v>
      </c>
    </row>
    <row r="39" spans="1:17" ht="12.75" customHeight="1" x14ac:dyDescent="0.15">
      <c r="B39" s="56" t="s">
        <v>100</v>
      </c>
      <c r="C39" s="113">
        <f>+D9</f>
        <v>1629.1109999999999</v>
      </c>
      <c r="D39" s="113">
        <f t="shared" ref="D39:L39" si="4">C43</f>
        <v>1547.65545</v>
      </c>
      <c r="E39" s="113">
        <f t="shared" si="4"/>
        <v>1461.5485935609565</v>
      </c>
      <c r="F39" s="113">
        <f t="shared" si="4"/>
        <v>1360.835720056303</v>
      </c>
      <c r="G39" s="113">
        <f t="shared" si="4"/>
        <v>1245.6915460518017</v>
      </c>
      <c r="H39" s="113">
        <f t="shared" si="4"/>
        <v>1116.9915808905271</v>
      </c>
      <c r="I39" s="113">
        <f t="shared" si="4"/>
        <v>975.75851583946383</v>
      </c>
      <c r="J39" s="113">
        <f t="shared" si="4"/>
        <v>822.85141723460947</v>
      </c>
      <c r="K39" s="113">
        <f t="shared" si="4"/>
        <v>741.39586723460945</v>
      </c>
      <c r="L39" s="113">
        <f t="shared" si="4"/>
        <v>539.89791257653087</v>
      </c>
    </row>
    <row r="40" spans="1:17" ht="12.75" customHeight="1" x14ac:dyDescent="0.15">
      <c r="B40" s="112" t="s">
        <v>112</v>
      </c>
      <c r="C40" s="71">
        <v>0</v>
      </c>
      <c r="D40" s="71">
        <v>0</v>
      </c>
      <c r="E40" s="71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>
        <v>0</v>
      </c>
      <c r="L40" s="71">
        <v>0</v>
      </c>
    </row>
    <row r="41" spans="1:17" ht="12.75" customHeight="1" x14ac:dyDescent="0.15">
      <c r="B41" s="115" t="s">
        <v>193</v>
      </c>
      <c r="C41" s="113">
        <f t="shared" ref="C41:L41" si="5">-MIN(C39+C40, $D$9*$K$5)</f>
        <v>-81.455550000000002</v>
      </c>
      <c r="D41" s="113">
        <f t="shared" si="5"/>
        <v>-81.455550000000002</v>
      </c>
      <c r="E41" s="113">
        <f t="shared" si="5"/>
        <v>-81.455550000000002</v>
      </c>
      <c r="F41" s="113">
        <f t="shared" si="5"/>
        <v>-81.455550000000002</v>
      </c>
      <c r="G41" s="113">
        <f t="shared" si="5"/>
        <v>-81.455550000000002</v>
      </c>
      <c r="H41" s="113">
        <f t="shared" si="5"/>
        <v>-81.455550000000002</v>
      </c>
      <c r="I41" s="113">
        <f t="shared" si="5"/>
        <v>-81.455550000000002</v>
      </c>
      <c r="J41" s="113">
        <f t="shared" si="5"/>
        <v>-81.455550000000002</v>
      </c>
      <c r="K41" s="113">
        <f t="shared" si="5"/>
        <v>-81.455550000000002</v>
      </c>
      <c r="L41" s="113">
        <f t="shared" si="5"/>
        <v>-81.455550000000002</v>
      </c>
    </row>
    <row r="42" spans="1:17" s="114" customFormat="1" ht="13.5" customHeight="1" x14ac:dyDescent="0.15">
      <c r="A42" s="69"/>
      <c r="B42" s="126" t="s">
        <v>194</v>
      </c>
      <c r="C42" s="113">
        <f t="shared" ref="C42:L42" si="6">-MIN(C39+C40+C41,$K$6*MAX(0,C26-C47-C72-C59-C60+C41+C67))</f>
        <v>0</v>
      </c>
      <c r="D42" s="113">
        <f t="shared" si="6"/>
        <v>-4.651306439043438</v>
      </c>
      <c r="E42" s="113">
        <f t="shared" si="6"/>
        <v>-19.257323504653584</v>
      </c>
      <c r="F42" s="113">
        <f t="shared" si="6"/>
        <v>-33.688624004501499</v>
      </c>
      <c r="G42" s="113">
        <f t="shared" si="6"/>
        <v>-47.244415161274709</v>
      </c>
      <c r="H42" s="113">
        <f t="shared" si="6"/>
        <v>-59.777515051063354</v>
      </c>
      <c r="I42" s="113">
        <f t="shared" si="6"/>
        <v>-71.451548604854395</v>
      </c>
      <c r="J42" s="113">
        <f t="shared" si="6"/>
        <v>0</v>
      </c>
      <c r="K42" s="113">
        <f t="shared" si="6"/>
        <v>-120.04240465807862</v>
      </c>
      <c r="L42" s="113">
        <f t="shared" si="6"/>
        <v>-137.07717967269286</v>
      </c>
    </row>
    <row r="43" spans="1:17" s="114" customFormat="1" ht="13.5" customHeight="1" x14ac:dyDescent="0.15">
      <c r="A43" s="69"/>
      <c r="B43" s="127" t="s">
        <v>105</v>
      </c>
      <c r="C43" s="128">
        <f t="shared" ref="C43:L43" si="7">+C39+C40+C41+C42</f>
        <v>1547.65545</v>
      </c>
      <c r="D43" s="128">
        <f t="shared" si="7"/>
        <v>1461.5485935609565</v>
      </c>
      <c r="E43" s="128">
        <f t="shared" si="7"/>
        <v>1360.835720056303</v>
      </c>
      <c r="F43" s="128">
        <f t="shared" si="7"/>
        <v>1245.6915460518017</v>
      </c>
      <c r="G43" s="128">
        <f t="shared" si="7"/>
        <v>1116.9915808905271</v>
      </c>
      <c r="H43" s="128">
        <f t="shared" si="7"/>
        <v>975.75851583946383</v>
      </c>
      <c r="I43" s="128">
        <f t="shared" si="7"/>
        <v>822.85141723460947</v>
      </c>
      <c r="J43" s="128">
        <f t="shared" si="7"/>
        <v>741.39586723460945</v>
      </c>
      <c r="K43" s="128">
        <f t="shared" si="7"/>
        <v>539.89791257653087</v>
      </c>
      <c r="L43" s="128">
        <f t="shared" si="7"/>
        <v>321.36518290383799</v>
      </c>
    </row>
    <row r="44" spans="1:17" ht="12.75" customHeight="1" x14ac:dyDescent="0.15">
      <c r="B44" s="129"/>
      <c r="C44" s="130"/>
      <c r="D44" s="103"/>
      <c r="E44" s="103"/>
      <c r="F44" s="103"/>
      <c r="G44" s="103"/>
      <c r="H44" s="114"/>
      <c r="I44" s="114"/>
      <c r="J44" s="114"/>
      <c r="K44" s="114"/>
      <c r="L44" s="114"/>
      <c r="M44" s="114"/>
      <c r="N44" s="114"/>
      <c r="O44" s="114"/>
      <c r="P44" s="114"/>
      <c r="Q44" s="114"/>
    </row>
    <row r="45" spans="1:17" ht="12.75" customHeight="1" x14ac:dyDescent="0.15">
      <c r="B45" s="126" t="s">
        <v>195</v>
      </c>
      <c r="C45" s="131">
        <f>+E9</f>
        <v>6.5000000000000002E-2</v>
      </c>
    </row>
    <row r="46" spans="1:17" ht="12.75" customHeight="1" x14ac:dyDescent="0.15">
      <c r="B46" s="129"/>
      <c r="C46" s="132"/>
      <c r="D46" s="132"/>
      <c r="E46" s="132"/>
      <c r="F46" s="132"/>
      <c r="G46" s="132"/>
      <c r="H46" s="132"/>
      <c r="I46" s="132"/>
      <c r="J46" s="132"/>
      <c r="K46" s="132"/>
      <c r="L46" s="132"/>
    </row>
    <row r="47" spans="1:17" ht="12.75" customHeight="1" x14ac:dyDescent="0.15">
      <c r="B47" s="133" t="s">
        <v>196</v>
      </c>
      <c r="C47" s="113">
        <f t="shared" ref="C47:L47" si="8">+C39*$C$45</f>
        <v>105.89221499999999</v>
      </c>
      <c r="D47" s="113">
        <f t="shared" si="8"/>
        <v>100.59760425</v>
      </c>
      <c r="E47" s="113">
        <f t="shared" si="8"/>
        <v>95.000658581462176</v>
      </c>
      <c r="F47" s="113">
        <f t="shared" si="8"/>
        <v>88.454321803659695</v>
      </c>
      <c r="G47" s="113">
        <f t="shared" si="8"/>
        <v>80.969950493367108</v>
      </c>
      <c r="H47" s="113">
        <f t="shared" si="8"/>
        <v>72.60445275788426</v>
      </c>
      <c r="I47" s="113">
        <f t="shared" si="8"/>
        <v>63.424303529565151</v>
      </c>
      <c r="J47" s="113">
        <f t="shared" si="8"/>
        <v>53.485342120249619</v>
      </c>
      <c r="K47" s="113">
        <f t="shared" si="8"/>
        <v>48.190731370249615</v>
      </c>
      <c r="L47" s="113">
        <f t="shared" si="8"/>
        <v>35.09336431747451</v>
      </c>
    </row>
    <row r="48" spans="1:17" ht="12.75" customHeight="1" x14ac:dyDescent="0.15">
      <c r="B48" s="120"/>
    </row>
    <row r="49" spans="1:12" ht="13.5" customHeight="1" x14ac:dyDescent="0.15">
      <c r="B49" s="121" t="s">
        <v>197</v>
      </c>
    </row>
    <row r="50" spans="1:12" ht="13.5" customHeight="1" x14ac:dyDescent="0.15">
      <c r="B50" s="122" t="s">
        <v>192</v>
      </c>
      <c r="C50" s="123">
        <v>1</v>
      </c>
      <c r="D50" s="123">
        <v>2</v>
      </c>
      <c r="E50" s="123">
        <v>3</v>
      </c>
      <c r="F50" s="123">
        <v>4</v>
      </c>
      <c r="G50" s="123">
        <v>5</v>
      </c>
      <c r="H50" s="123">
        <v>6</v>
      </c>
      <c r="I50" s="123">
        <v>7</v>
      </c>
      <c r="J50" s="123">
        <v>8</v>
      </c>
      <c r="K50" s="123">
        <v>9</v>
      </c>
      <c r="L50" s="123">
        <v>10</v>
      </c>
    </row>
    <row r="51" spans="1:12" ht="12.75" customHeight="1" x14ac:dyDescent="0.15">
      <c r="B51" s="124" t="s">
        <v>99</v>
      </c>
      <c r="C51" s="125">
        <f>'Income Statement'!H4</f>
        <v>2026</v>
      </c>
      <c r="D51" s="125">
        <f>'Income Statement'!I4</f>
        <v>2027</v>
      </c>
      <c r="E51" s="125">
        <f>'Income Statement'!J4</f>
        <v>2028</v>
      </c>
      <c r="F51" s="125">
        <f>'Income Statement'!K4</f>
        <v>2029</v>
      </c>
      <c r="G51" s="125">
        <f>'Income Statement'!L4</f>
        <v>2030</v>
      </c>
      <c r="H51" s="125">
        <f>'Income Statement'!M4</f>
        <v>2031</v>
      </c>
      <c r="I51" s="125">
        <f>'Income Statement'!N4</f>
        <v>2032</v>
      </c>
      <c r="J51" s="125">
        <f>'Income Statement'!O4</f>
        <v>2033</v>
      </c>
      <c r="K51" s="125">
        <f>'Income Statement'!P4</f>
        <v>2034</v>
      </c>
      <c r="L51" s="125">
        <f>'Income Statement'!Q4</f>
        <v>2035</v>
      </c>
    </row>
    <row r="52" spans="1:12" ht="12.75" customHeight="1" x14ac:dyDescent="0.15">
      <c r="B52" s="134" t="s">
        <v>100</v>
      </c>
      <c r="C52" s="135">
        <f>0</f>
        <v>0</v>
      </c>
      <c r="D52" s="135">
        <f t="shared" ref="D52:L52" si="9">C55</f>
        <v>17.401498088513051</v>
      </c>
      <c r="E52" s="135">
        <f t="shared" si="9"/>
        <v>11.445079292831139</v>
      </c>
      <c r="F52" s="135">
        <f t="shared" si="9"/>
        <v>0</v>
      </c>
      <c r="G52" s="135">
        <f t="shared" si="9"/>
        <v>0</v>
      </c>
      <c r="H52" s="135">
        <f t="shared" si="9"/>
        <v>0</v>
      </c>
      <c r="I52" s="135">
        <f t="shared" si="9"/>
        <v>0</v>
      </c>
      <c r="J52" s="135">
        <f t="shared" si="9"/>
        <v>0</v>
      </c>
      <c r="K52" s="135">
        <f>J55</f>
        <v>200</v>
      </c>
      <c r="L52" s="135">
        <f t="shared" si="9"/>
        <v>64.957595341921376</v>
      </c>
    </row>
    <row r="53" spans="1:12" s="114" customFormat="1" ht="12.75" customHeight="1" x14ac:dyDescent="0.15">
      <c r="A53" s="69"/>
      <c r="B53" s="53" t="s">
        <v>198</v>
      </c>
      <c r="C53" s="113">
        <f t="shared" ref="C53:L53" si="10">MIN(MAX(0,-(C26-C47-C72-C60+C41+C42+C67)),$K$7-C52)</f>
        <v>17.401498088513051</v>
      </c>
      <c r="D53" s="113">
        <f t="shared" si="10"/>
        <v>0</v>
      </c>
      <c r="E53" s="113">
        <f t="shared" si="10"/>
        <v>0</v>
      </c>
      <c r="F53" s="113">
        <f t="shared" si="10"/>
        <v>0</v>
      </c>
      <c r="G53" s="113">
        <f t="shared" si="10"/>
        <v>0</v>
      </c>
      <c r="H53" s="113">
        <f t="shared" si="10"/>
        <v>0</v>
      </c>
      <c r="I53" s="113">
        <f t="shared" si="10"/>
        <v>0</v>
      </c>
      <c r="J53" s="113">
        <f>MIN(MAX(0,-(J26-J47-J72-J60+J41+J42+J67)),$K$7-J52)</f>
        <v>200</v>
      </c>
      <c r="K53" s="113">
        <f t="shared" si="10"/>
        <v>0</v>
      </c>
      <c r="L53" s="113">
        <f t="shared" si="10"/>
        <v>0</v>
      </c>
    </row>
    <row r="54" spans="1:12" s="114" customFormat="1" ht="12.75" customHeight="1" x14ac:dyDescent="0.15">
      <c r="A54" s="69"/>
      <c r="B54" s="115" t="s">
        <v>113</v>
      </c>
      <c r="C54" s="113">
        <f t="shared" ref="C54:L54" si="11">-MIN(C52,MAX(0,C26-C47-C72-C60+C41+C42+C67))</f>
        <v>0</v>
      </c>
      <c r="D54" s="113">
        <f t="shared" si="11"/>
        <v>-5.9564187956819126</v>
      </c>
      <c r="E54" s="113">
        <f t="shared" si="11"/>
        <v>-11.445079292831139</v>
      </c>
      <c r="F54" s="113">
        <f t="shared" si="11"/>
        <v>0</v>
      </c>
      <c r="G54" s="113">
        <f t="shared" si="11"/>
        <v>0</v>
      </c>
      <c r="H54" s="113">
        <f t="shared" si="11"/>
        <v>0</v>
      </c>
      <c r="I54" s="113">
        <f t="shared" si="11"/>
        <v>0</v>
      </c>
      <c r="J54" s="113">
        <f t="shared" si="11"/>
        <v>0</v>
      </c>
      <c r="K54" s="113">
        <f t="shared" si="11"/>
        <v>-135.04240465807862</v>
      </c>
      <c r="L54" s="113">
        <f t="shared" si="11"/>
        <v>-64.957595341921376</v>
      </c>
    </row>
    <row r="55" spans="1:12" s="114" customFormat="1" ht="12.75" customHeight="1" x14ac:dyDescent="0.15">
      <c r="A55" s="69"/>
      <c r="B55" s="127" t="s">
        <v>105</v>
      </c>
      <c r="C55" s="128">
        <f t="shared" ref="C55:L55" si="12">+C52+C53+C54</f>
        <v>17.401498088513051</v>
      </c>
      <c r="D55" s="128">
        <f t="shared" si="12"/>
        <v>11.445079292831139</v>
      </c>
      <c r="E55" s="128">
        <f t="shared" si="12"/>
        <v>0</v>
      </c>
      <c r="F55" s="128">
        <f t="shared" si="12"/>
        <v>0</v>
      </c>
      <c r="G55" s="128">
        <f t="shared" si="12"/>
        <v>0</v>
      </c>
      <c r="H55" s="128">
        <f t="shared" si="12"/>
        <v>0</v>
      </c>
      <c r="I55" s="128">
        <f t="shared" si="12"/>
        <v>0</v>
      </c>
      <c r="J55" s="128">
        <f t="shared" si="12"/>
        <v>200</v>
      </c>
      <c r="K55" s="128">
        <f t="shared" si="12"/>
        <v>64.957595341921376</v>
      </c>
      <c r="L55" s="128">
        <f t="shared" si="12"/>
        <v>0</v>
      </c>
    </row>
    <row r="56" spans="1:12" ht="13.5" customHeight="1" x14ac:dyDescent="0.15">
      <c r="B56" s="136"/>
      <c r="C56" s="75"/>
      <c r="D56" s="75"/>
      <c r="E56" s="75"/>
      <c r="F56" s="75"/>
      <c r="G56" s="75"/>
      <c r="H56" s="75"/>
      <c r="I56" s="75"/>
      <c r="J56" s="75"/>
      <c r="K56" s="75"/>
      <c r="L56" s="75"/>
    </row>
    <row r="57" spans="1:12" ht="13.5" customHeight="1" x14ac:dyDescent="0.15">
      <c r="B57" s="115" t="s">
        <v>195</v>
      </c>
      <c r="C57" s="131">
        <f>$K$8</f>
        <v>7.4999999999999997E-2</v>
      </c>
      <c r="D57" s="103"/>
      <c r="E57" s="103"/>
      <c r="F57" s="103"/>
      <c r="G57" s="103"/>
      <c r="H57" s="114"/>
      <c r="I57" s="114"/>
      <c r="J57" s="114"/>
      <c r="K57" s="114"/>
      <c r="L57" s="114"/>
    </row>
    <row r="58" spans="1:12" ht="12.75" customHeight="1" x14ac:dyDescent="0.15">
      <c r="B58" s="137" t="s">
        <v>199</v>
      </c>
      <c r="C58" s="138">
        <f>$K$9</f>
        <v>5.0000000000000001E-3</v>
      </c>
      <c r="D58" s="103"/>
      <c r="E58" s="103"/>
      <c r="F58" s="103"/>
      <c r="G58" s="103"/>
      <c r="H58" s="114"/>
      <c r="I58" s="114"/>
      <c r="J58" s="114"/>
      <c r="K58" s="114"/>
      <c r="L58" s="114"/>
    </row>
    <row r="59" spans="1:12" ht="12.75" customHeight="1" x14ac:dyDescent="0.15">
      <c r="B59" s="126" t="s">
        <v>200</v>
      </c>
      <c r="C59" s="113">
        <f t="shared" ref="C59:L59" si="13">+C52*$C$57</f>
        <v>0</v>
      </c>
      <c r="D59" s="113">
        <f t="shared" si="13"/>
        <v>1.3051123566384788</v>
      </c>
      <c r="E59" s="113">
        <f t="shared" si="13"/>
        <v>0.85838094696233536</v>
      </c>
      <c r="F59" s="113">
        <f t="shared" si="13"/>
        <v>0</v>
      </c>
      <c r="G59" s="113">
        <f t="shared" si="13"/>
        <v>0</v>
      </c>
      <c r="H59" s="113">
        <f t="shared" si="13"/>
        <v>0</v>
      </c>
      <c r="I59" s="113">
        <f t="shared" si="13"/>
        <v>0</v>
      </c>
      <c r="J59" s="113">
        <f t="shared" si="13"/>
        <v>0</v>
      </c>
      <c r="K59" s="113">
        <f t="shared" si="13"/>
        <v>15</v>
      </c>
      <c r="L59" s="113">
        <f t="shared" si="13"/>
        <v>4.8718196506441034</v>
      </c>
    </row>
    <row r="60" spans="1:12" ht="12.75" customHeight="1" x14ac:dyDescent="0.15">
      <c r="B60" s="137" t="s">
        <v>201</v>
      </c>
      <c r="C60" s="139">
        <f t="shared" ref="C60:L60" si="14">($K$7-C52)*$C$58</f>
        <v>1</v>
      </c>
      <c r="D60" s="139">
        <f t="shared" si="14"/>
        <v>0.91299250955743472</v>
      </c>
      <c r="E60" s="139">
        <f t="shared" si="14"/>
        <v>0.9427746035358443</v>
      </c>
      <c r="F60" s="139">
        <f t="shared" si="14"/>
        <v>1</v>
      </c>
      <c r="G60" s="139">
        <f t="shared" si="14"/>
        <v>1</v>
      </c>
      <c r="H60" s="139">
        <f t="shared" si="14"/>
        <v>1</v>
      </c>
      <c r="I60" s="139">
        <f t="shared" si="14"/>
        <v>1</v>
      </c>
      <c r="J60" s="139">
        <f t="shared" si="14"/>
        <v>1</v>
      </c>
      <c r="K60" s="139">
        <f t="shared" si="14"/>
        <v>0</v>
      </c>
      <c r="L60" s="139">
        <f t="shared" si="14"/>
        <v>0.67521202329039309</v>
      </c>
    </row>
    <row r="61" spans="1:12" ht="12.75" customHeight="1" x14ac:dyDescent="0.15">
      <c r="B61" s="120"/>
    </row>
    <row r="62" spans="1:12" ht="13.5" customHeight="1" x14ac:dyDescent="0.15">
      <c r="B62" s="121" t="s">
        <v>202</v>
      </c>
    </row>
    <row r="63" spans="1:12" ht="12.75" customHeight="1" x14ac:dyDescent="0.15">
      <c r="B63" s="122" t="s">
        <v>192</v>
      </c>
      <c r="C63" s="123">
        <v>1</v>
      </c>
      <c r="D63" s="123">
        <v>2</v>
      </c>
      <c r="E63" s="123">
        <v>3</v>
      </c>
      <c r="F63" s="123">
        <v>4</v>
      </c>
      <c r="G63" s="123">
        <v>5</v>
      </c>
      <c r="H63" s="123">
        <v>6</v>
      </c>
      <c r="I63" s="123">
        <v>7</v>
      </c>
      <c r="J63" s="123">
        <v>8</v>
      </c>
      <c r="K63" s="123">
        <v>9</v>
      </c>
      <c r="L63" s="123">
        <v>10</v>
      </c>
    </row>
    <row r="64" spans="1:12" ht="12.75" customHeight="1" x14ac:dyDescent="0.15">
      <c r="B64" s="124" t="s">
        <v>99</v>
      </c>
      <c r="C64" s="125">
        <f>'Income Statement'!H4</f>
        <v>2026</v>
      </c>
      <c r="D64" s="125">
        <f>'Income Statement'!I4</f>
        <v>2027</v>
      </c>
      <c r="E64" s="125">
        <f>'Income Statement'!J4</f>
        <v>2028</v>
      </c>
      <c r="F64" s="125">
        <f>'Income Statement'!K4</f>
        <v>2029</v>
      </c>
      <c r="G64" s="125">
        <f>'Income Statement'!L4</f>
        <v>2030</v>
      </c>
      <c r="H64" s="125">
        <f>'Income Statement'!M4</f>
        <v>2031</v>
      </c>
      <c r="I64" s="125">
        <f>'Income Statement'!N4</f>
        <v>2032</v>
      </c>
      <c r="J64" s="125">
        <f>'Income Statement'!O4</f>
        <v>2033</v>
      </c>
      <c r="K64" s="125">
        <f>'Income Statement'!P4</f>
        <v>2034</v>
      </c>
      <c r="L64" s="125">
        <f>'Income Statement'!Q4</f>
        <v>2035</v>
      </c>
    </row>
    <row r="65" spans="1:12" s="114" customFormat="1" ht="12.75" customHeight="1" x14ac:dyDescent="0.15">
      <c r="A65" s="69"/>
      <c r="B65" s="133" t="s">
        <v>100</v>
      </c>
      <c r="C65" s="113">
        <f>+D10</f>
        <v>740.505</v>
      </c>
      <c r="D65" s="113">
        <f t="shared" ref="D65:L65" si="15">C68</f>
        <v>740.505</v>
      </c>
      <c r="E65" s="113">
        <f t="shared" si="15"/>
        <v>740.505</v>
      </c>
      <c r="F65" s="113">
        <f t="shared" si="15"/>
        <v>740.505</v>
      </c>
      <c r="G65" s="113">
        <f t="shared" si="15"/>
        <v>740.505</v>
      </c>
      <c r="H65" s="113">
        <f t="shared" si="15"/>
        <v>740.505</v>
      </c>
      <c r="I65" s="113">
        <f t="shared" si="15"/>
        <v>740.505</v>
      </c>
      <c r="J65" s="113">
        <f t="shared" si="15"/>
        <v>740.505</v>
      </c>
      <c r="K65" s="113">
        <f t="shared" si="15"/>
        <v>0</v>
      </c>
      <c r="L65" s="113">
        <f t="shared" si="15"/>
        <v>0</v>
      </c>
    </row>
    <row r="66" spans="1:12" ht="12.75" customHeight="1" x14ac:dyDescent="0.15">
      <c r="B66" s="53" t="s">
        <v>112</v>
      </c>
      <c r="C66" s="113">
        <f>0</f>
        <v>0</v>
      </c>
      <c r="D66" s="113">
        <f>0</f>
        <v>0</v>
      </c>
      <c r="E66" s="113">
        <f>0</f>
        <v>0</v>
      </c>
      <c r="F66" s="113">
        <f>0</f>
        <v>0</v>
      </c>
      <c r="G66" s="113">
        <f>0</f>
        <v>0</v>
      </c>
      <c r="H66" s="113">
        <f>0</f>
        <v>0</v>
      </c>
      <c r="I66" s="113">
        <f>0</f>
        <v>0</v>
      </c>
      <c r="J66" s="113">
        <f>0</f>
        <v>0</v>
      </c>
      <c r="K66" s="113">
        <f>0</f>
        <v>0</v>
      </c>
      <c r="L66" s="113">
        <f>0</f>
        <v>0</v>
      </c>
    </row>
    <row r="67" spans="1:12" ht="12.75" customHeight="1" x14ac:dyDescent="0.15">
      <c r="B67" s="53" t="s">
        <v>113</v>
      </c>
      <c r="C67" s="113">
        <f>0</f>
        <v>0</v>
      </c>
      <c r="D67" s="113">
        <f>0</f>
        <v>0</v>
      </c>
      <c r="E67" s="113">
        <f>0</f>
        <v>0</v>
      </c>
      <c r="F67" s="113">
        <f>0</f>
        <v>0</v>
      </c>
      <c r="G67" s="113">
        <f>0</f>
        <v>0</v>
      </c>
      <c r="H67" s="113">
        <f>0</f>
        <v>0</v>
      </c>
      <c r="I67" s="113">
        <f>0</f>
        <v>0</v>
      </c>
      <c r="J67" s="113">
        <f>-J65</f>
        <v>-740.505</v>
      </c>
      <c r="K67" s="113">
        <f>0</f>
        <v>0</v>
      </c>
      <c r="L67" s="113">
        <f>0</f>
        <v>0</v>
      </c>
    </row>
    <row r="68" spans="1:12" ht="13.5" customHeight="1" x14ac:dyDescent="0.15">
      <c r="B68" s="140" t="s">
        <v>105</v>
      </c>
      <c r="C68" s="128">
        <f t="shared" ref="C68:L68" si="16">+C65+C66+C67</f>
        <v>740.505</v>
      </c>
      <c r="D68" s="128">
        <f t="shared" si="16"/>
        <v>740.505</v>
      </c>
      <c r="E68" s="128">
        <f t="shared" si="16"/>
        <v>740.505</v>
      </c>
      <c r="F68" s="128">
        <f t="shared" si="16"/>
        <v>740.505</v>
      </c>
      <c r="G68" s="128">
        <f t="shared" si="16"/>
        <v>740.505</v>
      </c>
      <c r="H68" s="128">
        <f t="shared" si="16"/>
        <v>740.505</v>
      </c>
      <c r="I68" s="128">
        <f t="shared" si="16"/>
        <v>740.505</v>
      </c>
      <c r="J68" s="128">
        <f t="shared" si="16"/>
        <v>0</v>
      </c>
      <c r="K68" s="128">
        <f t="shared" si="16"/>
        <v>0</v>
      </c>
      <c r="L68" s="128">
        <f t="shared" si="16"/>
        <v>0</v>
      </c>
    </row>
    <row r="69" spans="1:12" s="114" customFormat="1" ht="12.75" customHeight="1" x14ac:dyDescent="0.15">
      <c r="A69" s="69"/>
      <c r="B69" s="69"/>
    </row>
    <row r="70" spans="1:12" ht="13.5" customHeight="1" x14ac:dyDescent="0.15">
      <c r="B70" s="53" t="s">
        <v>195</v>
      </c>
      <c r="C70" s="131">
        <f>+E10</f>
        <v>9.5000000000000001E-2</v>
      </c>
    </row>
    <row r="71" spans="1:12" ht="13.5" customHeight="1" x14ac:dyDescent="0.15"/>
    <row r="72" spans="1:12" ht="12.75" customHeight="1" x14ac:dyDescent="0.15">
      <c r="B72" s="53" t="s">
        <v>203</v>
      </c>
      <c r="C72" s="113">
        <f t="shared" ref="C72:L72" si="17">+C65*$C$70</f>
        <v>70.347975000000005</v>
      </c>
      <c r="D72" s="113">
        <f t="shared" si="17"/>
        <v>70.347975000000005</v>
      </c>
      <c r="E72" s="113">
        <f t="shared" si="17"/>
        <v>70.347975000000005</v>
      </c>
      <c r="F72" s="113">
        <f t="shared" si="17"/>
        <v>70.347975000000005</v>
      </c>
      <c r="G72" s="113">
        <f t="shared" si="17"/>
        <v>70.347975000000005</v>
      </c>
      <c r="H72" s="113">
        <f t="shared" si="17"/>
        <v>70.347975000000005</v>
      </c>
      <c r="I72" s="113">
        <f t="shared" si="17"/>
        <v>70.347975000000005</v>
      </c>
      <c r="J72" s="113">
        <f t="shared" si="17"/>
        <v>70.347975000000005</v>
      </c>
      <c r="K72" s="113">
        <f t="shared" si="17"/>
        <v>0</v>
      </c>
      <c r="L72" s="113">
        <f t="shared" si="17"/>
        <v>0</v>
      </c>
    </row>
    <row r="73" spans="1:12" ht="13.5" customHeight="1" x14ac:dyDescent="0.15"/>
    <row r="74" spans="1:12" ht="13.5" customHeight="1" x14ac:dyDescent="0.15">
      <c r="B74" s="141" t="s">
        <v>204</v>
      </c>
    </row>
    <row r="75" spans="1:12" s="114" customFormat="1" ht="12.75" customHeight="1" x14ac:dyDescent="0.15">
      <c r="A75" s="69"/>
      <c r="B75" s="69"/>
    </row>
    <row r="76" spans="1:12" ht="13.5" customHeight="1" x14ac:dyDescent="0.15">
      <c r="B76" s="142" t="s">
        <v>192</v>
      </c>
      <c r="C76" s="125">
        <f>'Income Statement'!H4</f>
        <v>2026</v>
      </c>
      <c r="D76" s="125">
        <f>'Income Statement'!I4</f>
        <v>2027</v>
      </c>
      <c r="E76" s="125">
        <f>'Income Statement'!J4</f>
        <v>2028</v>
      </c>
      <c r="F76" s="125">
        <f>'Income Statement'!K4</f>
        <v>2029</v>
      </c>
      <c r="G76" s="125">
        <f>'Income Statement'!L4</f>
        <v>2030</v>
      </c>
      <c r="H76" s="125">
        <f>'Income Statement'!M4</f>
        <v>2031</v>
      </c>
      <c r="I76" s="125">
        <f>'Income Statement'!N4</f>
        <v>2032</v>
      </c>
      <c r="J76" s="125">
        <f>'Income Statement'!O4</f>
        <v>2033</v>
      </c>
      <c r="K76" s="125">
        <f>'Income Statement'!P4</f>
        <v>2034</v>
      </c>
      <c r="L76" s="125">
        <f>'Income Statement'!Q4</f>
        <v>2035</v>
      </c>
    </row>
    <row r="77" spans="1:12" ht="12.75" customHeight="1" x14ac:dyDescent="0.15">
      <c r="B77" s="88"/>
    </row>
    <row r="78" spans="1:12" ht="12.75" customHeight="1" x14ac:dyDescent="0.15">
      <c r="B78" s="53" t="s">
        <v>205</v>
      </c>
      <c r="C78" s="113">
        <f t="shared" ref="C78:L78" si="18">-(C47+C59+C60+C72)</f>
        <v>-177.24018999999998</v>
      </c>
      <c r="D78" s="113">
        <f t="shared" si="18"/>
        <v>-173.16368411619592</v>
      </c>
      <c r="E78" s="113">
        <f t="shared" si="18"/>
        <v>-167.14978913196035</v>
      </c>
      <c r="F78" s="113">
        <f t="shared" si="18"/>
        <v>-159.80229680365971</v>
      </c>
      <c r="G78" s="113">
        <f t="shared" si="18"/>
        <v>-152.31792549336711</v>
      </c>
      <c r="H78" s="113">
        <f t="shared" si="18"/>
        <v>-143.95242775788427</v>
      </c>
      <c r="I78" s="113">
        <f t="shared" si="18"/>
        <v>-134.77227852956514</v>
      </c>
      <c r="J78" s="113">
        <f t="shared" si="18"/>
        <v>-124.83331712024963</v>
      </c>
      <c r="K78" s="113">
        <f t="shared" si="18"/>
        <v>-63.190731370249615</v>
      </c>
      <c r="L78" s="113">
        <f t="shared" si="18"/>
        <v>-40.640395991409008</v>
      </c>
    </row>
    <row r="79" spans="1:12" ht="13.5" customHeight="1" x14ac:dyDescent="0.15">
      <c r="B79" s="53" t="s">
        <v>206</v>
      </c>
      <c r="C79" s="113">
        <f t="shared" ref="C79:L79" si="19">+C41+C42+C53+C54+C67</f>
        <v>-64.054051911486951</v>
      </c>
      <c r="D79" s="113">
        <f t="shared" si="19"/>
        <v>-92.063275234725353</v>
      </c>
      <c r="E79" s="113">
        <f t="shared" si="19"/>
        <v>-112.15795279748473</v>
      </c>
      <c r="F79" s="113">
        <f t="shared" si="19"/>
        <v>-115.14417400450151</v>
      </c>
      <c r="G79" s="113">
        <f t="shared" si="19"/>
        <v>-128.69996516127472</v>
      </c>
      <c r="H79" s="113">
        <f t="shared" si="19"/>
        <v>-141.23306505106336</v>
      </c>
      <c r="I79" s="113">
        <f t="shared" si="19"/>
        <v>-152.90709860485441</v>
      </c>
      <c r="J79" s="113">
        <f t="shared" si="19"/>
        <v>-621.96055000000001</v>
      </c>
      <c r="K79" s="113">
        <f t="shared" si="19"/>
        <v>-336.54035931615726</v>
      </c>
      <c r="L79" s="113">
        <f t="shared" si="19"/>
        <v>-283.49032501461426</v>
      </c>
    </row>
    <row r="80" spans="1:12" ht="13.5" customHeight="1" x14ac:dyDescent="0.15">
      <c r="B80" s="53" t="s">
        <v>207</v>
      </c>
      <c r="C80" s="113">
        <f t="shared" ref="C80:L80" si="20">+C43+C55+C68</f>
        <v>2305.561948088513</v>
      </c>
      <c r="D80" s="113">
        <f t="shared" si="20"/>
        <v>2213.4986728537879</v>
      </c>
      <c r="E80" s="113">
        <f t="shared" si="20"/>
        <v>2101.3407200563029</v>
      </c>
      <c r="F80" s="113">
        <f t="shared" si="20"/>
        <v>1986.1965460518018</v>
      </c>
      <c r="G80" s="113">
        <f t="shared" si="20"/>
        <v>1857.4965808905272</v>
      </c>
      <c r="H80" s="113">
        <f t="shared" si="20"/>
        <v>1716.2635158394637</v>
      </c>
      <c r="I80" s="113">
        <f t="shared" si="20"/>
        <v>1563.3564172346096</v>
      </c>
      <c r="J80" s="113">
        <f t="shared" si="20"/>
        <v>941.39586723460945</v>
      </c>
      <c r="K80" s="113">
        <f t="shared" si="20"/>
        <v>604.8555079184523</v>
      </c>
      <c r="L80" s="113">
        <f t="shared" si="20"/>
        <v>321.36518290383799</v>
      </c>
    </row>
    <row r="81" spans="1:2" ht="12.75" customHeight="1" x14ac:dyDescent="0.15">
      <c r="B81" s="69"/>
    </row>
    <row r="82" spans="1:2" ht="12.75" customHeight="1" x14ac:dyDescent="0.15"/>
    <row r="84" spans="1:2" ht="12.75" customHeight="1" x14ac:dyDescent="0.15">
      <c r="B84" s="69"/>
    </row>
    <row r="86" spans="1:2" ht="12.75" customHeight="1" x14ac:dyDescent="0.15">
      <c r="B86" s="88"/>
    </row>
    <row r="87" spans="1:2" s="114" customFormat="1" ht="12.75" customHeight="1" x14ac:dyDescent="0.15">
      <c r="A87" s="69"/>
      <c r="B87" s="69"/>
    </row>
    <row r="90" spans="1:2" ht="12.75" customHeight="1" x14ac:dyDescent="0.15">
      <c r="B90" s="69"/>
    </row>
    <row r="91" spans="1:2" s="114" customFormat="1" ht="12.75" customHeight="1" x14ac:dyDescent="0.15">
      <c r="A91" s="69"/>
      <c r="B91" s="69"/>
    </row>
    <row r="94" spans="1:2" s="114" customFormat="1" ht="12.75" customHeight="1" x14ac:dyDescent="0.15">
      <c r="A94" s="69"/>
      <c r="B94" s="69"/>
    </row>
    <row r="96" spans="1:2" ht="12.75" customHeight="1" x14ac:dyDescent="0.15">
      <c r="B96" s="88"/>
    </row>
    <row r="97" spans="2:2" ht="12.75" customHeight="1" x14ac:dyDescent="0.15">
      <c r="B97" s="69"/>
    </row>
    <row r="99" spans="2:2" ht="12.75" customHeight="1" x14ac:dyDescent="0.15">
      <c r="B99" s="88"/>
    </row>
    <row r="101" spans="2:2" ht="12.75" customHeight="1" x14ac:dyDescent="0.15">
      <c r="B101" s="88"/>
    </row>
    <row r="102" spans="2:2" ht="12.75" customHeight="1" x14ac:dyDescent="0.15">
      <c r="B102" s="69"/>
    </row>
    <row r="103" spans="2:2" ht="12.75" customHeight="1" x14ac:dyDescent="0.15">
      <c r="B103" s="69"/>
    </row>
    <row r="106" spans="2:2" ht="12.75" customHeight="1" x14ac:dyDescent="0.15">
      <c r="B106" s="88"/>
    </row>
  </sheetData>
  <mergeCells count="3">
    <mergeCell ref="B2:L2"/>
    <mergeCell ref="B16:E16"/>
    <mergeCell ref="F16:I16"/>
  </mergeCells>
  <pageMargins left="0.75" right="0.75" top="1" bottom="1" header="0.511811023622047" footer="0.511811023622047"/>
  <pageSetup paperSize="9" scale="63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7"/>
  <sheetViews>
    <sheetView showGridLines="0" zoomScale="108" zoomScaleNormal="108" workbookViewId="0">
      <selection activeCell="C10" sqref="C10"/>
    </sheetView>
  </sheetViews>
  <sheetFormatPr baseColWidth="10" defaultColWidth="8.83203125" defaultRowHeight="13" x14ac:dyDescent="0.15"/>
  <cols>
    <col min="1" max="1" width="36" style="98" customWidth="1"/>
    <col min="2" max="8" width="13" style="98" customWidth="1"/>
    <col min="9" max="16384" width="8.83203125" style="98"/>
  </cols>
  <sheetData>
    <row r="1" spans="1:14" ht="17.25" customHeight="1" x14ac:dyDescent="0.2">
      <c r="A1" s="422" t="s">
        <v>121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</row>
    <row r="2" spans="1:14" ht="12.75" customHeight="1" x14ac:dyDescent="0.15">
      <c r="A2" s="143" t="s">
        <v>208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</row>
    <row r="3" spans="1:14" ht="12.75" customHeight="1" x14ac:dyDescent="0.15">
      <c r="A3" s="145"/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</row>
    <row r="4" spans="1:14" ht="13.5" customHeight="1" x14ac:dyDescent="0.15">
      <c r="A4" s="146" t="s">
        <v>209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</row>
    <row r="5" spans="1:14" ht="12.75" customHeight="1" x14ac:dyDescent="0.15">
      <c r="A5" s="145" t="s">
        <v>167</v>
      </c>
      <c r="B5" s="145"/>
      <c r="C5" s="147">
        <f>'LBO Modelling'!C6</f>
        <v>12.5</v>
      </c>
      <c r="D5" s="147"/>
      <c r="E5" s="145"/>
      <c r="F5" s="145"/>
      <c r="G5" s="145"/>
      <c r="H5" s="145"/>
      <c r="I5" s="145"/>
      <c r="J5" s="145"/>
      <c r="K5" s="145"/>
      <c r="L5" s="145"/>
      <c r="M5" s="145"/>
    </row>
    <row r="6" spans="1:14" ht="12.75" customHeight="1" x14ac:dyDescent="0.15">
      <c r="A6" s="145" t="s">
        <v>210</v>
      </c>
      <c r="B6" s="145"/>
      <c r="C6" s="148">
        <f>'LBO Modelling'!D4</f>
        <v>296.202</v>
      </c>
      <c r="D6" s="147"/>
      <c r="E6" s="145"/>
      <c r="F6" s="145"/>
      <c r="G6" s="145"/>
      <c r="H6" s="145"/>
      <c r="I6" s="145"/>
      <c r="J6" s="145"/>
      <c r="K6" s="145"/>
      <c r="L6" s="145"/>
      <c r="M6" s="145"/>
    </row>
    <row r="7" spans="1:14" ht="12.75" customHeight="1" x14ac:dyDescent="0.15">
      <c r="A7" s="145" t="s">
        <v>211</v>
      </c>
      <c r="B7" s="145"/>
      <c r="C7" s="147">
        <f>Assumptions!C10</f>
        <v>12.5</v>
      </c>
      <c r="D7" s="147"/>
      <c r="E7" s="145"/>
      <c r="F7" s="145"/>
      <c r="G7" s="145"/>
      <c r="H7" s="145"/>
      <c r="I7" s="145"/>
      <c r="J7" s="145"/>
      <c r="K7" s="145"/>
      <c r="L7" s="145"/>
      <c r="M7" s="145"/>
    </row>
    <row r="8" spans="1:14" ht="12.75" customHeight="1" x14ac:dyDescent="0.15">
      <c r="A8" s="145" t="s">
        <v>212</v>
      </c>
      <c r="B8" s="145"/>
      <c r="C8" s="148">
        <f>'Income Statement'!L25</f>
        <v>442.58544320626174</v>
      </c>
      <c r="D8" s="147"/>
      <c r="E8" s="145"/>
      <c r="F8" s="145"/>
      <c r="G8" s="145"/>
      <c r="H8" s="145"/>
      <c r="I8" s="145"/>
      <c r="J8" s="145"/>
      <c r="K8" s="145"/>
      <c r="L8" s="145"/>
      <c r="M8" s="145"/>
    </row>
    <row r="9" spans="1:14" ht="12.75" customHeight="1" x14ac:dyDescent="0.15">
      <c r="A9" s="145" t="s">
        <v>213</v>
      </c>
      <c r="B9" s="145"/>
      <c r="C9" s="148">
        <f>+C7*C8</f>
        <v>5532.3180400782721</v>
      </c>
      <c r="D9" s="147"/>
      <c r="E9" s="145"/>
      <c r="F9" s="145"/>
      <c r="G9" s="145"/>
      <c r="H9" s="145"/>
      <c r="I9" s="145"/>
      <c r="J9" s="145"/>
      <c r="K9" s="145"/>
      <c r="L9" s="145"/>
      <c r="M9" s="145"/>
    </row>
    <row r="10" spans="1:14" ht="12.75" customHeight="1" x14ac:dyDescent="0.15">
      <c r="A10" s="145" t="s">
        <v>214</v>
      </c>
      <c r="B10" s="145"/>
      <c r="C10" s="148">
        <f>'Balance Sheet'!M63</f>
        <v>934.69952432438379</v>
      </c>
      <c r="D10" s="147"/>
      <c r="E10" s="145"/>
      <c r="F10" s="145"/>
      <c r="G10" s="145"/>
      <c r="H10" s="145"/>
      <c r="I10" s="145"/>
      <c r="J10" s="145"/>
      <c r="K10" s="145"/>
      <c r="L10" s="145"/>
      <c r="M10" s="145"/>
    </row>
    <row r="11" spans="1:14" ht="13.5" customHeight="1" x14ac:dyDescent="0.15">
      <c r="A11" s="146" t="s">
        <v>215</v>
      </c>
      <c r="B11" s="145"/>
      <c r="C11" s="148">
        <f>+C9-C10</f>
        <v>4597.6185157538885</v>
      </c>
      <c r="D11" s="147"/>
      <c r="E11" s="145"/>
      <c r="F11" s="145"/>
      <c r="G11" s="145"/>
      <c r="H11" s="145"/>
      <c r="I11" s="145"/>
      <c r="J11" s="145"/>
      <c r="K11" s="145"/>
      <c r="L11" s="145"/>
      <c r="M11" s="145"/>
    </row>
    <row r="12" spans="1:14" ht="12.75" customHeight="1" x14ac:dyDescent="0.15">
      <c r="A12" s="145"/>
      <c r="B12" s="145"/>
      <c r="C12" s="145"/>
      <c r="D12" s="145"/>
      <c r="E12" s="145"/>
      <c r="F12" s="145"/>
      <c r="G12" s="145"/>
      <c r="H12" s="145"/>
      <c r="I12" s="149"/>
      <c r="J12" s="149"/>
      <c r="K12" s="149"/>
      <c r="L12" s="149"/>
      <c r="M12" s="149"/>
      <c r="N12" s="149"/>
    </row>
    <row r="13" spans="1:14" ht="13.5" customHeight="1" x14ac:dyDescent="0.15">
      <c r="A13" s="150" t="s">
        <v>216</v>
      </c>
      <c r="B13" s="151"/>
      <c r="C13" s="151"/>
      <c r="D13" s="151"/>
      <c r="E13" s="151"/>
      <c r="F13" s="151"/>
      <c r="G13" s="151"/>
      <c r="H13" s="151"/>
      <c r="I13" s="149"/>
      <c r="J13" s="149"/>
      <c r="K13" s="149"/>
      <c r="L13" s="149"/>
      <c r="M13" s="149"/>
      <c r="N13" s="149"/>
    </row>
    <row r="14" spans="1:14" ht="12.75" customHeight="1" x14ac:dyDescent="0.15">
      <c r="A14" s="145"/>
      <c r="B14" s="145"/>
      <c r="C14" s="152">
        <v>46022</v>
      </c>
      <c r="D14" s="152">
        <f>C14+365</f>
        <v>46387</v>
      </c>
      <c r="E14" s="152">
        <f>D14+365</f>
        <v>46752</v>
      </c>
      <c r="F14" s="152">
        <f>E14+365</f>
        <v>47117</v>
      </c>
      <c r="G14" s="152">
        <f>F14+365</f>
        <v>47482</v>
      </c>
      <c r="H14" s="152">
        <f>G14+365</f>
        <v>47847</v>
      </c>
      <c r="I14" s="149"/>
      <c r="J14" s="149"/>
      <c r="K14" s="149"/>
      <c r="L14" s="149"/>
      <c r="M14" s="149"/>
      <c r="N14" s="149"/>
    </row>
    <row r="15" spans="1:14" ht="12.75" customHeight="1" x14ac:dyDescent="0.15">
      <c r="A15" s="145"/>
      <c r="B15" s="145"/>
      <c r="C15" s="153" t="s">
        <v>217</v>
      </c>
      <c r="D15" s="154" t="s">
        <v>218</v>
      </c>
      <c r="E15" s="155" t="s">
        <v>219</v>
      </c>
      <c r="F15" s="155" t="s">
        <v>220</v>
      </c>
      <c r="G15" s="155" t="s">
        <v>221</v>
      </c>
      <c r="H15" s="156" t="s">
        <v>222</v>
      </c>
      <c r="I15" s="157"/>
      <c r="J15" s="157"/>
      <c r="K15" s="157"/>
      <c r="L15" s="157"/>
      <c r="M15" s="157"/>
      <c r="N15" s="149"/>
    </row>
    <row r="16" spans="1:14" ht="12.75" customHeight="1" x14ac:dyDescent="0.15">
      <c r="A16" s="145"/>
      <c r="B16" s="145"/>
      <c r="C16" s="145"/>
      <c r="D16" s="145"/>
      <c r="E16" s="145"/>
      <c r="F16" s="145"/>
      <c r="G16" s="145"/>
      <c r="H16" s="145"/>
      <c r="I16" s="149"/>
      <c r="J16" s="149"/>
      <c r="K16" s="149"/>
      <c r="L16" s="149"/>
      <c r="M16" s="149"/>
      <c r="N16" s="149"/>
    </row>
    <row r="17" spans="1:14" ht="12.75" customHeight="1" x14ac:dyDescent="0.15">
      <c r="A17" s="158" t="s">
        <v>223</v>
      </c>
      <c r="B17" s="159"/>
      <c r="C17" s="160"/>
      <c r="D17" s="161"/>
      <c r="E17" s="161"/>
      <c r="F17" s="161"/>
      <c r="G17" s="161"/>
      <c r="H17" s="161"/>
      <c r="I17" s="162"/>
      <c r="J17" s="162"/>
      <c r="K17" s="162"/>
      <c r="L17" s="162"/>
      <c r="M17" s="162"/>
      <c r="N17" s="149"/>
    </row>
    <row r="18" spans="1:14" ht="12.75" customHeight="1" x14ac:dyDescent="0.15">
      <c r="A18" s="145" t="s">
        <v>224</v>
      </c>
      <c r="B18" s="163"/>
      <c r="C18" s="148">
        <f ca="1">-'LBO Modelling'!D12</f>
        <v>-1504.3340717948722</v>
      </c>
      <c r="D18" s="164"/>
      <c r="E18" s="164"/>
      <c r="F18" s="164"/>
      <c r="G18" s="164"/>
      <c r="H18" s="164"/>
      <c r="I18" s="162"/>
      <c r="J18" s="162"/>
      <c r="K18" s="162"/>
      <c r="L18" s="162"/>
      <c r="M18" s="162"/>
      <c r="N18" s="149"/>
    </row>
    <row r="19" spans="1:14" ht="12.75" customHeight="1" x14ac:dyDescent="0.15">
      <c r="A19" s="145" t="s">
        <v>225</v>
      </c>
      <c r="B19" s="165"/>
      <c r="C19" s="166"/>
      <c r="D19" s="164"/>
      <c r="E19" s="164"/>
      <c r="F19" s="164"/>
      <c r="G19" s="164"/>
      <c r="H19" s="71">
        <f>+C11</f>
        <v>4597.6185157538885</v>
      </c>
      <c r="I19" s="162"/>
      <c r="J19" s="162"/>
      <c r="K19" s="162"/>
      <c r="L19" s="162"/>
      <c r="M19" s="162"/>
      <c r="N19" s="149"/>
    </row>
    <row r="20" spans="1:14" ht="13.5" customHeight="1" x14ac:dyDescent="0.15">
      <c r="A20" s="146" t="s">
        <v>226</v>
      </c>
      <c r="B20" s="163"/>
      <c r="C20" s="167">
        <f ca="1">C18</f>
        <v>-1504.3340717948722</v>
      </c>
      <c r="D20" s="167">
        <v>0</v>
      </c>
      <c r="E20" s="167">
        <v>0</v>
      </c>
      <c r="F20" s="167">
        <v>0</v>
      </c>
      <c r="G20" s="167">
        <v>0</v>
      </c>
      <c r="H20" s="167">
        <f>H19</f>
        <v>4597.6185157538885</v>
      </c>
      <c r="I20" s="162"/>
      <c r="J20" s="162"/>
      <c r="K20" s="162"/>
      <c r="L20" s="162"/>
      <c r="M20" s="162"/>
      <c r="N20" s="149"/>
    </row>
    <row r="21" spans="1:14" ht="12.75" customHeight="1" x14ac:dyDescent="0.15">
      <c r="A21" s="145"/>
      <c r="B21" s="145"/>
      <c r="C21" s="145"/>
      <c r="D21" s="110"/>
      <c r="E21" s="110"/>
      <c r="F21" s="110"/>
      <c r="G21" s="110"/>
      <c r="H21" s="110"/>
      <c r="I21" s="116"/>
      <c r="J21" s="116"/>
      <c r="K21" s="116"/>
      <c r="L21" s="116"/>
      <c r="M21" s="116"/>
      <c r="N21" s="149"/>
    </row>
    <row r="22" spans="1:14" ht="13.5" customHeight="1" x14ac:dyDescent="0.15">
      <c r="A22" s="168" t="s">
        <v>227</v>
      </c>
      <c r="B22" s="169"/>
      <c r="C22" s="170">
        <f ca="1">XIRR(C20:H20,C14:H14)</f>
        <v>0.25036764740943906</v>
      </c>
      <c r="I22" s="149"/>
      <c r="J22" s="149"/>
      <c r="K22" s="149"/>
      <c r="L22" s="149"/>
      <c r="M22" s="149"/>
      <c r="N22" s="149"/>
    </row>
    <row r="23" spans="1:14" ht="13.5" customHeight="1" x14ac:dyDescent="0.15">
      <c r="A23" s="57" t="s">
        <v>228</v>
      </c>
      <c r="C23" s="171">
        <f ca="1">H19/-C18</f>
        <v>3.0562483440053398</v>
      </c>
      <c r="I23" s="149"/>
      <c r="J23" s="149"/>
      <c r="K23" s="149"/>
      <c r="L23" s="149"/>
      <c r="M23" s="149"/>
      <c r="N23" s="149"/>
    </row>
    <row r="24" spans="1:14" ht="12.75" customHeight="1" x14ac:dyDescent="0.15">
      <c r="C24" s="172"/>
      <c r="D24" s="172"/>
      <c r="E24" s="172"/>
      <c r="F24" s="172"/>
      <c r="G24" s="172"/>
      <c r="H24" s="172"/>
      <c r="I24" s="149"/>
      <c r="J24" s="149"/>
      <c r="K24" s="149"/>
      <c r="L24" s="149"/>
      <c r="M24" s="149"/>
      <c r="N24" s="149"/>
    </row>
    <row r="25" spans="1:14" ht="12.75" customHeight="1" x14ac:dyDescent="0.15">
      <c r="A25" s="145"/>
      <c r="B25" s="145"/>
      <c r="C25" s="173"/>
      <c r="D25" s="174"/>
      <c r="E25" s="175"/>
      <c r="F25" s="175"/>
      <c r="G25" s="175"/>
      <c r="H25" s="176"/>
      <c r="I25" s="157"/>
      <c r="J25" s="157"/>
      <c r="K25" s="157"/>
      <c r="L25" s="157"/>
      <c r="M25" s="157"/>
      <c r="N25" s="149"/>
    </row>
    <row r="26" spans="1:14" ht="13.5" customHeight="1" x14ac:dyDescent="0.15">
      <c r="A26" s="146" t="s">
        <v>229</v>
      </c>
      <c r="B26" s="145"/>
      <c r="C26" s="145"/>
      <c r="D26" s="145"/>
      <c r="E26" s="145"/>
      <c r="F26" s="145"/>
      <c r="G26" s="145"/>
      <c r="H26" s="145"/>
      <c r="I26" s="149"/>
      <c r="J26" s="149"/>
      <c r="K26" s="149"/>
      <c r="L26" s="149"/>
      <c r="M26" s="149"/>
      <c r="N26" s="149"/>
    </row>
    <row r="27" spans="1:14" ht="12.75" customHeight="1" x14ac:dyDescent="0.15">
      <c r="A27" s="163" t="s">
        <v>230</v>
      </c>
      <c r="B27" s="163"/>
      <c r="C27" s="167">
        <f ca="1">-C18</f>
        <v>1504.3340717948722</v>
      </c>
      <c r="D27" s="177"/>
      <c r="E27" s="177"/>
      <c r="F27" s="177"/>
      <c r="G27" s="177"/>
      <c r="H27" s="177"/>
      <c r="I27" s="162"/>
      <c r="J27" s="162"/>
      <c r="K27" s="162"/>
      <c r="L27" s="162"/>
      <c r="M27" s="162"/>
      <c r="N27" s="149"/>
    </row>
    <row r="28" spans="1:14" ht="12.75" customHeight="1" x14ac:dyDescent="0.15">
      <c r="A28" s="163" t="s">
        <v>231</v>
      </c>
      <c r="B28" s="163"/>
      <c r="C28" s="167">
        <f>+H19</f>
        <v>4597.6185157538885</v>
      </c>
      <c r="D28" s="177"/>
      <c r="E28" s="177"/>
      <c r="F28" s="177"/>
      <c r="G28" s="177"/>
      <c r="H28" s="177"/>
      <c r="I28" s="162"/>
      <c r="J28" s="162"/>
      <c r="K28" s="162"/>
      <c r="L28" s="162"/>
      <c r="M28" s="162"/>
      <c r="N28" s="149"/>
    </row>
    <row r="29" spans="1:14" ht="12.75" customHeight="1" x14ac:dyDescent="0.15">
      <c r="A29" s="165" t="s">
        <v>232</v>
      </c>
      <c r="B29" s="165"/>
      <c r="C29" s="178">
        <f ca="1">C28-C27</f>
        <v>3093.2844439590162</v>
      </c>
      <c r="D29" s="114"/>
      <c r="E29" s="114"/>
      <c r="F29" s="114"/>
      <c r="G29" s="114"/>
      <c r="H29" s="114"/>
      <c r="I29" s="179"/>
      <c r="J29" s="179"/>
      <c r="K29" s="179"/>
      <c r="L29" s="179"/>
      <c r="M29" s="179"/>
      <c r="N29" s="149"/>
    </row>
    <row r="30" spans="1:14" ht="12.75" customHeight="1" x14ac:dyDescent="0.15">
      <c r="A30" s="145"/>
      <c r="B30" s="145"/>
      <c r="C30" s="145"/>
      <c r="D30" s="110"/>
      <c r="E30" s="110"/>
      <c r="F30" s="110"/>
      <c r="G30" s="110"/>
      <c r="H30" s="110"/>
      <c r="I30" s="110"/>
      <c r="J30" s="110"/>
      <c r="K30" s="110"/>
      <c r="L30" s="110"/>
      <c r="M30" s="110"/>
    </row>
    <row r="31" spans="1:14" ht="13.5" customHeight="1" x14ac:dyDescent="0.15">
      <c r="A31" s="146" t="s">
        <v>233</v>
      </c>
      <c r="B31" s="145"/>
      <c r="C31" s="145"/>
      <c r="D31" s="110"/>
      <c r="E31" s="110"/>
      <c r="F31" s="110"/>
      <c r="G31" s="110"/>
      <c r="H31" s="110"/>
      <c r="I31" s="110"/>
      <c r="J31" s="110"/>
      <c r="K31" s="110"/>
      <c r="L31" s="110"/>
      <c r="M31" s="110"/>
    </row>
    <row r="32" spans="1:14" ht="12.75" customHeight="1" x14ac:dyDescent="0.15">
      <c r="A32" s="145" t="s">
        <v>234</v>
      </c>
      <c r="B32" s="145"/>
      <c r="C32" s="148">
        <f>(C8-C6)*C5</f>
        <v>1829.7930400782718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</row>
    <row r="33" spans="1:13" ht="12.75" customHeight="1" x14ac:dyDescent="0.15">
      <c r="A33" s="145" t="s">
        <v>235</v>
      </c>
      <c r="B33" s="145"/>
      <c r="C33" s="148">
        <f>(C7-C5)*C8</f>
        <v>0</v>
      </c>
      <c r="D33" s="110"/>
      <c r="E33" s="110"/>
      <c r="F33" s="110"/>
      <c r="G33" s="110"/>
      <c r="H33" s="110"/>
      <c r="I33" s="110"/>
      <c r="J33" s="110"/>
      <c r="K33" s="110"/>
      <c r="L33" s="110"/>
      <c r="M33" s="110"/>
    </row>
    <row r="34" spans="1:13" ht="12.75" customHeight="1" x14ac:dyDescent="0.15">
      <c r="A34" s="180" t="s">
        <v>236</v>
      </c>
      <c r="B34" s="169"/>
      <c r="C34" s="181">
        <f>'LBO Modelling'!D8-'Balance Sheet'!M27+'Balance Sheet'!M13</f>
        <v>2382.4663285619417</v>
      </c>
    </row>
    <row r="36" spans="1:13" ht="12.75" customHeight="1" x14ac:dyDescent="0.15">
      <c r="C36" s="110"/>
    </row>
    <row r="37" spans="1:13" ht="13.5" customHeight="1" x14ac:dyDescent="0.15">
      <c r="A37" s="383"/>
      <c r="B37" s="384"/>
      <c r="C37" s="385"/>
      <c r="D37" s="384"/>
      <c r="E37" s="384"/>
      <c r="F37" s="384"/>
      <c r="G37" s="384"/>
    </row>
    <row r="38" spans="1:13" ht="12.75" customHeight="1" x14ac:dyDescent="0.15">
      <c r="A38" s="386"/>
      <c r="B38" s="386"/>
      <c r="C38" s="387"/>
      <c r="D38" s="384"/>
      <c r="E38" s="384"/>
      <c r="F38" s="384"/>
      <c r="G38" s="384"/>
    </row>
    <row r="39" spans="1:13" ht="13.5" customHeight="1" x14ac:dyDescent="0.15">
      <c r="A39" s="386"/>
      <c r="B39" s="388"/>
      <c r="C39" s="389"/>
      <c r="D39" s="390"/>
      <c r="E39" s="390"/>
      <c r="F39" s="390"/>
      <c r="G39" s="390"/>
      <c r="H39" s="172"/>
      <c r="I39" s="172"/>
      <c r="J39" s="172"/>
      <c r="K39" s="172"/>
      <c r="L39" s="172"/>
      <c r="M39" s="172"/>
    </row>
    <row r="40" spans="1:13" ht="13.5" customHeight="1" x14ac:dyDescent="0.15">
      <c r="A40" s="384"/>
      <c r="B40" s="391"/>
      <c r="C40" s="392"/>
      <c r="D40" s="392"/>
      <c r="E40" s="392"/>
      <c r="F40" s="392"/>
      <c r="G40" s="392"/>
      <c r="H40" s="172"/>
      <c r="I40" s="172"/>
      <c r="J40" s="172"/>
      <c r="K40" s="172"/>
      <c r="L40" s="172"/>
      <c r="M40" s="172"/>
    </row>
    <row r="41" spans="1:13" ht="13.5" customHeight="1" x14ac:dyDescent="0.15">
      <c r="A41" s="384"/>
      <c r="B41" s="391"/>
      <c r="C41" s="392"/>
      <c r="D41" s="392"/>
      <c r="E41" s="392"/>
      <c r="F41" s="392"/>
      <c r="G41" s="392"/>
      <c r="H41" s="172"/>
      <c r="I41" s="172"/>
      <c r="J41" s="172"/>
      <c r="K41" s="172"/>
      <c r="L41" s="172"/>
      <c r="M41" s="172"/>
    </row>
    <row r="42" spans="1:13" ht="13.5" customHeight="1" x14ac:dyDescent="0.15">
      <c r="A42" s="384"/>
      <c r="B42" s="391"/>
      <c r="C42" s="393"/>
      <c r="D42" s="393"/>
      <c r="E42" s="393"/>
      <c r="F42" s="393"/>
      <c r="G42" s="393"/>
      <c r="H42" s="149"/>
      <c r="I42" s="149"/>
      <c r="J42" s="149"/>
      <c r="K42" s="149"/>
      <c r="L42" s="149"/>
      <c r="M42" s="149"/>
    </row>
    <row r="43" spans="1:13" ht="13.5" customHeight="1" x14ac:dyDescent="0.15">
      <c r="A43" s="384"/>
      <c r="B43" s="391"/>
      <c r="C43" s="393"/>
      <c r="D43" s="393"/>
      <c r="E43" s="393"/>
      <c r="F43" s="393"/>
      <c r="G43" s="393"/>
      <c r="H43" s="183"/>
      <c r="I43" s="183"/>
      <c r="J43" s="183"/>
      <c r="K43" s="183"/>
      <c r="L43" s="183"/>
      <c r="M43" s="183"/>
    </row>
    <row r="44" spans="1:13" ht="12.75" customHeight="1" x14ac:dyDescent="0.15">
      <c r="A44" s="394"/>
      <c r="B44" s="395"/>
      <c r="C44" s="393"/>
      <c r="D44" s="393"/>
      <c r="E44" s="393"/>
      <c r="F44" s="393"/>
      <c r="G44" s="393"/>
      <c r="H44" s="184"/>
      <c r="I44" s="184"/>
      <c r="J44" s="184"/>
      <c r="K44" s="184"/>
      <c r="L44" s="184"/>
      <c r="M44" s="184"/>
    </row>
    <row r="45" spans="1:13" ht="12.75" customHeight="1" x14ac:dyDescent="0.15">
      <c r="A45" s="384"/>
      <c r="B45" s="384"/>
      <c r="C45" s="384"/>
      <c r="D45" s="384"/>
      <c r="E45" s="384"/>
      <c r="F45" s="384"/>
      <c r="G45" s="384"/>
      <c r="H45" s="172"/>
      <c r="I45" s="172"/>
      <c r="J45" s="172"/>
      <c r="K45" s="172"/>
      <c r="L45" s="172"/>
      <c r="M45" s="172"/>
    </row>
    <row r="46" spans="1:13" x14ac:dyDescent="0.15">
      <c r="A46" s="384"/>
      <c r="B46" s="384"/>
      <c r="C46" s="384"/>
      <c r="D46" s="384"/>
      <c r="E46" s="384"/>
      <c r="F46" s="384"/>
      <c r="G46" s="384"/>
    </row>
    <row r="47" spans="1:13" x14ac:dyDescent="0.15">
      <c r="A47" s="384"/>
      <c r="B47" s="384"/>
      <c r="C47" s="384"/>
      <c r="D47" s="384"/>
      <c r="E47" s="384"/>
      <c r="F47" s="384"/>
      <c r="G47" s="384"/>
    </row>
  </sheetData>
  <mergeCells count="1">
    <mergeCell ref="A1:M1"/>
  </mergeCells>
  <pageMargins left="0.75" right="0.75" top="1" bottom="1" header="0.511811023622047" footer="0.511811023622047"/>
  <pageSetup paperSize="9" scale="63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9F84-DE42-F147-B870-13EC31AE0A70}">
  <dimension ref="B2:E22"/>
  <sheetViews>
    <sheetView tabSelected="1" workbookViewId="0">
      <selection activeCell="G6" sqref="G6"/>
    </sheetView>
  </sheetViews>
  <sheetFormatPr baseColWidth="10" defaultRowHeight="15" x14ac:dyDescent="0.2"/>
  <cols>
    <col min="2" max="2" width="27.6640625" customWidth="1"/>
    <col min="3" max="5" width="20.83203125" customWidth="1"/>
  </cols>
  <sheetData>
    <row r="2" spans="2:5" ht="16" thickBot="1" x14ac:dyDescent="0.25"/>
    <row r="3" spans="2:5" x14ac:dyDescent="0.2">
      <c r="B3" s="414" t="s">
        <v>312</v>
      </c>
      <c r="C3" s="415"/>
      <c r="D3" s="415"/>
      <c r="E3" s="416"/>
    </row>
    <row r="4" spans="2:5" x14ac:dyDescent="0.2">
      <c r="B4" s="27"/>
      <c r="C4" s="19" t="s">
        <v>262</v>
      </c>
      <c r="D4" s="19" t="s">
        <v>8</v>
      </c>
      <c r="E4" s="28" t="s">
        <v>263</v>
      </c>
    </row>
    <row r="5" spans="2:5" hidden="1" x14ac:dyDescent="0.2">
      <c r="B5" s="29" t="s">
        <v>264</v>
      </c>
      <c r="C5" s="20" t="s">
        <v>265</v>
      </c>
      <c r="D5" s="20" t="s">
        <v>266</v>
      </c>
      <c r="E5" s="30" t="s">
        <v>267</v>
      </c>
    </row>
    <row r="6" spans="2:5" ht="15" customHeight="1" x14ac:dyDescent="0.2">
      <c r="B6" s="29" t="s">
        <v>300</v>
      </c>
      <c r="C6" s="21">
        <v>4.2299999999999997E-2</v>
      </c>
      <c r="D6" s="21">
        <v>7.6600000000000001E-2</v>
      </c>
      <c r="E6" s="31">
        <v>9.98E-2</v>
      </c>
    </row>
    <row r="7" spans="2:5" x14ac:dyDescent="0.2">
      <c r="B7" s="29" t="s">
        <v>268</v>
      </c>
      <c r="C7" s="22" t="s">
        <v>269</v>
      </c>
      <c r="D7" s="22" t="s">
        <v>270</v>
      </c>
      <c r="E7" s="32" t="s">
        <v>271</v>
      </c>
    </row>
    <row r="8" spans="2:5" x14ac:dyDescent="0.2">
      <c r="B8" s="29" t="s">
        <v>272</v>
      </c>
      <c r="C8" s="22" t="s">
        <v>302</v>
      </c>
      <c r="D8" s="22" t="s">
        <v>303</v>
      </c>
      <c r="E8" s="32" t="s">
        <v>304</v>
      </c>
    </row>
    <row r="9" spans="2:5" ht="15" customHeight="1" x14ac:dyDescent="0.2">
      <c r="B9" s="33" t="s">
        <v>301</v>
      </c>
      <c r="C9" s="24">
        <v>0.7</v>
      </c>
      <c r="D9" s="24">
        <v>0.72</v>
      </c>
      <c r="E9" s="34">
        <v>0.73499999999999999</v>
      </c>
    </row>
    <row r="10" spans="2:5" x14ac:dyDescent="0.2">
      <c r="B10" s="29" t="s">
        <v>273</v>
      </c>
      <c r="C10" s="22" t="s">
        <v>305</v>
      </c>
      <c r="D10" s="22" t="s">
        <v>308</v>
      </c>
      <c r="E10" s="32" t="s">
        <v>309</v>
      </c>
    </row>
    <row r="11" spans="2:5" ht="15" customHeight="1" x14ac:dyDescent="0.2">
      <c r="B11" s="33" t="s">
        <v>307</v>
      </c>
      <c r="C11" s="23" t="s">
        <v>306</v>
      </c>
      <c r="D11" s="23" t="s">
        <v>261</v>
      </c>
      <c r="E11" s="35" t="s">
        <v>310</v>
      </c>
    </row>
    <row r="12" spans="2:5" ht="16" thickBot="1" x14ac:dyDescent="0.25">
      <c r="B12" s="39" t="s">
        <v>311</v>
      </c>
      <c r="C12" s="25" t="s">
        <v>325</v>
      </c>
      <c r="D12" s="25" t="s">
        <v>274</v>
      </c>
      <c r="E12" s="40" t="s">
        <v>326</v>
      </c>
    </row>
    <row r="13" spans="2:5" x14ac:dyDescent="0.2">
      <c r="B13" s="41" t="s">
        <v>159</v>
      </c>
      <c r="C13" s="26">
        <v>0.14499999999999999</v>
      </c>
      <c r="D13" s="26">
        <v>0.246</v>
      </c>
      <c r="E13" s="42">
        <v>0.31</v>
      </c>
    </row>
    <row r="14" spans="2:5" ht="16" thickBot="1" x14ac:dyDescent="0.25">
      <c r="B14" s="36" t="s">
        <v>160</v>
      </c>
      <c r="C14" s="37" t="s">
        <v>324</v>
      </c>
      <c r="D14" s="37" t="s">
        <v>328</v>
      </c>
      <c r="E14" s="38" t="s">
        <v>327</v>
      </c>
    </row>
    <row r="16" spans="2:5" x14ac:dyDescent="0.2">
      <c r="B16" s="88" t="s">
        <v>313</v>
      </c>
      <c r="C16" s="56"/>
      <c r="D16" s="88" t="s">
        <v>314</v>
      </c>
      <c r="E16" s="56"/>
    </row>
    <row r="17" spans="2:5" x14ac:dyDescent="0.2">
      <c r="B17" s="401" t="s">
        <v>322</v>
      </c>
      <c r="C17" s="56">
        <v>1629.1109999999999</v>
      </c>
      <c r="D17" s="56" t="s">
        <v>338</v>
      </c>
      <c r="E17" s="56">
        <v>3702.5250000000001</v>
      </c>
    </row>
    <row r="18" spans="2:5" ht="29" x14ac:dyDescent="0.2">
      <c r="B18" s="401" t="s">
        <v>323</v>
      </c>
      <c r="C18" s="56">
        <v>740.505</v>
      </c>
      <c r="D18" s="401" t="s">
        <v>317</v>
      </c>
      <c r="E18" s="56">
        <v>7.1839999999999993</v>
      </c>
    </row>
    <row r="19" spans="2:5" ht="29" x14ac:dyDescent="0.2">
      <c r="B19" s="401" t="s">
        <v>315</v>
      </c>
      <c r="C19" s="56">
        <v>1504.3340717948722</v>
      </c>
      <c r="D19" s="401" t="s">
        <v>318</v>
      </c>
      <c r="E19" s="56">
        <v>96.848751794871816</v>
      </c>
    </row>
    <row r="20" spans="2:5" ht="29" x14ac:dyDescent="0.2">
      <c r="B20" s="401"/>
      <c r="C20" s="56"/>
      <c r="D20" s="401" t="s">
        <v>319</v>
      </c>
      <c r="E20" s="56">
        <v>47.392319999999998</v>
      </c>
    </row>
    <row r="21" spans="2:5" x14ac:dyDescent="0.2">
      <c r="B21" s="401"/>
      <c r="C21" s="56"/>
      <c r="D21" s="401" t="s">
        <v>320</v>
      </c>
      <c r="E21" s="56">
        <v>20</v>
      </c>
    </row>
    <row r="22" spans="2:5" x14ac:dyDescent="0.2">
      <c r="B22" s="402" t="s">
        <v>316</v>
      </c>
      <c r="C22" s="403">
        <v>3873.9500717948722</v>
      </c>
      <c r="D22" s="403" t="s">
        <v>321</v>
      </c>
      <c r="E22" s="403">
        <v>3873.9500717948722</v>
      </c>
    </row>
  </sheetData>
  <mergeCells count="1">
    <mergeCell ref="B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2577-F48F-9548-93DA-0DF3AE131696}">
  <dimension ref="B2:K11"/>
  <sheetViews>
    <sheetView showGridLines="0" zoomScale="137" zoomScaleNormal="100" workbookViewId="0">
      <selection activeCell="F6" sqref="F6"/>
    </sheetView>
  </sheetViews>
  <sheetFormatPr baseColWidth="10" defaultColWidth="8.6640625" defaultRowHeight="14" x14ac:dyDescent="0.15"/>
  <cols>
    <col min="1" max="1" width="2" style="18" customWidth="1"/>
    <col min="2" max="2" width="28" style="18" customWidth="1"/>
    <col min="3" max="11" width="13" style="18" customWidth="1"/>
    <col min="12" max="16384" width="8.6640625" style="18"/>
  </cols>
  <sheetData>
    <row r="2" spans="2:11" ht="15" customHeight="1" x14ac:dyDescent="0.15">
      <c r="B2" s="418" t="s">
        <v>358</v>
      </c>
      <c r="C2" s="418"/>
      <c r="D2" s="418"/>
      <c r="E2" s="418"/>
      <c r="F2" s="418"/>
      <c r="G2" s="418"/>
      <c r="H2" s="418"/>
      <c r="I2" s="418"/>
      <c r="J2" s="418"/>
      <c r="K2" s="418"/>
    </row>
    <row r="3" spans="2:11" ht="15" customHeight="1" x14ac:dyDescent="0.15">
      <c r="B3" s="185" t="s">
        <v>260</v>
      </c>
      <c r="C3" s="185" t="s">
        <v>275</v>
      </c>
      <c r="D3" s="185" t="s">
        <v>276</v>
      </c>
      <c r="E3" s="185" t="s">
        <v>277</v>
      </c>
      <c r="F3" s="185" t="s">
        <v>149</v>
      </c>
      <c r="G3" s="185" t="s">
        <v>278</v>
      </c>
      <c r="H3" s="185" t="s">
        <v>279</v>
      </c>
    </row>
    <row r="4" spans="2:11" ht="36" customHeight="1" x14ac:dyDescent="0.15">
      <c r="B4" s="7" t="s">
        <v>280</v>
      </c>
      <c r="C4" s="7" t="s">
        <v>281</v>
      </c>
      <c r="D4" s="8" t="s">
        <v>282</v>
      </c>
      <c r="E4" s="396">
        <v>23.46</v>
      </c>
      <c r="F4" s="370">
        <v>0.55000000000000004</v>
      </c>
      <c r="G4" s="372">
        <v>0.12</v>
      </c>
      <c r="H4" s="9" t="s">
        <v>283</v>
      </c>
    </row>
    <row r="5" spans="2:11" ht="36" customHeight="1" x14ac:dyDescent="0.15">
      <c r="B5" s="10" t="s">
        <v>330</v>
      </c>
      <c r="C5" s="10" t="s">
        <v>284</v>
      </c>
      <c r="D5" s="11" t="s">
        <v>285</v>
      </c>
      <c r="E5" s="397">
        <v>13.92</v>
      </c>
      <c r="F5" s="371">
        <v>0.62</v>
      </c>
      <c r="G5" s="373">
        <v>0.15</v>
      </c>
      <c r="H5" s="12" t="s">
        <v>286</v>
      </c>
    </row>
    <row r="6" spans="2:11" ht="36" customHeight="1" x14ac:dyDescent="0.15">
      <c r="B6" s="7" t="s">
        <v>329</v>
      </c>
      <c r="C6" s="7" t="s">
        <v>287</v>
      </c>
      <c r="D6" s="8" t="s">
        <v>288</v>
      </c>
      <c r="E6" s="396">
        <v>15.75</v>
      </c>
      <c r="F6" s="370">
        <v>0.52</v>
      </c>
      <c r="G6" s="370">
        <v>0.14000000000000001</v>
      </c>
      <c r="H6" s="9" t="s">
        <v>289</v>
      </c>
    </row>
    <row r="7" spans="2:11" ht="36" customHeight="1" x14ac:dyDescent="0.15">
      <c r="B7" s="10" t="s">
        <v>290</v>
      </c>
      <c r="C7" s="10" t="s">
        <v>291</v>
      </c>
      <c r="D7" s="11" t="s">
        <v>292</v>
      </c>
      <c r="E7" s="397">
        <v>25.85</v>
      </c>
      <c r="F7" s="371">
        <v>0.28999999999999998</v>
      </c>
      <c r="G7" s="373">
        <v>0.18</v>
      </c>
      <c r="H7" s="12" t="s">
        <v>293</v>
      </c>
    </row>
    <row r="8" spans="2:11" ht="36" customHeight="1" x14ac:dyDescent="0.15">
      <c r="B8" s="7" t="s">
        <v>294</v>
      </c>
      <c r="C8" s="7" t="s">
        <v>295</v>
      </c>
      <c r="D8" s="8" t="s">
        <v>296</v>
      </c>
      <c r="E8" s="399">
        <v>49.1</v>
      </c>
      <c r="F8" s="370">
        <v>0.18</v>
      </c>
      <c r="G8" s="370">
        <v>0.13</v>
      </c>
      <c r="H8" s="9" t="s">
        <v>297</v>
      </c>
    </row>
    <row r="9" spans="2:11" ht="45" customHeight="1" x14ac:dyDescent="0.15">
      <c r="B9" s="13" t="s">
        <v>298</v>
      </c>
      <c r="C9" s="13" t="s">
        <v>299</v>
      </c>
      <c r="D9" s="14" t="s">
        <v>345</v>
      </c>
      <c r="E9" s="398">
        <f>'LBO Modelling'!C6</f>
        <v>12.5</v>
      </c>
      <c r="F9" s="366">
        <f>'Income Statement'!G26</f>
        <v>0.69673440296945155</v>
      </c>
      <c r="G9" s="366">
        <f>+'Income Statement'!G11</f>
        <v>9.0404276165610975E-2</v>
      </c>
      <c r="H9" s="15" t="s">
        <v>357</v>
      </c>
    </row>
    <row r="10" spans="2:11" ht="15" customHeight="1" x14ac:dyDescent="0.15">
      <c r="B10" s="16" t="s">
        <v>339</v>
      </c>
      <c r="E10" s="400">
        <f>MEDIAN(E4:E9)</f>
        <v>19.605</v>
      </c>
      <c r="F10" s="367">
        <f>MEDIAN(F4:F9)</f>
        <v>0.53500000000000003</v>
      </c>
      <c r="G10" s="367">
        <f>MEDIAN(G4:G9)</f>
        <v>0.13500000000000001</v>
      </c>
    </row>
    <row r="11" spans="2:11" x14ac:dyDescent="0.15">
      <c r="E11" s="186"/>
    </row>
  </sheetData>
  <mergeCells count="1">
    <mergeCell ref="B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19"/>
  <sheetViews>
    <sheetView showGridLines="0" zoomScaleNormal="100" workbookViewId="0">
      <selection activeCell="D22" sqref="D22"/>
    </sheetView>
  </sheetViews>
  <sheetFormatPr baseColWidth="10" defaultColWidth="12" defaultRowHeight="13" x14ac:dyDescent="0.15"/>
  <cols>
    <col min="1" max="1" width="3.33203125" style="98" customWidth="1"/>
    <col min="2" max="2" width="30" style="98" customWidth="1"/>
    <col min="3" max="16384" width="12" style="98"/>
  </cols>
  <sheetData>
    <row r="1" spans="2:7" x14ac:dyDescent="0.15">
      <c r="B1" s="352"/>
      <c r="C1" s="352"/>
    </row>
    <row r="2" spans="2:7" ht="17.25" customHeight="1" x14ac:dyDescent="0.2">
      <c r="B2" s="353" t="s">
        <v>1</v>
      </c>
      <c r="C2" s="352"/>
    </row>
    <row r="4" spans="2:7" ht="15" customHeight="1" x14ac:dyDescent="0.2">
      <c r="B4" s="354" t="s">
        <v>237</v>
      </c>
      <c r="C4" s="355"/>
    </row>
    <row r="5" spans="2:7" ht="15" customHeight="1" x14ac:dyDescent="0.2">
      <c r="B5" s="356" t="s">
        <v>238</v>
      </c>
      <c r="C5" s="357">
        <v>0.3</v>
      </c>
    </row>
    <row r="6" spans="2:7" ht="15" customHeight="1" x14ac:dyDescent="0.2">
      <c r="B6" s="358" t="s">
        <v>239</v>
      </c>
      <c r="C6" s="359">
        <f>1-C5</f>
        <v>0.7</v>
      </c>
    </row>
    <row r="7" spans="2:7" ht="15" customHeight="1" x14ac:dyDescent="0.2">
      <c r="B7" s="356"/>
      <c r="C7" s="200"/>
    </row>
    <row r="8" spans="2:7" ht="15" customHeight="1" x14ac:dyDescent="0.2">
      <c r="B8" s="354" t="s">
        <v>240</v>
      </c>
      <c r="C8" s="200"/>
    </row>
    <row r="9" spans="2:7" ht="15" customHeight="1" x14ac:dyDescent="0.2">
      <c r="B9" s="356" t="s">
        <v>241</v>
      </c>
      <c r="C9" s="357">
        <v>5.0099999999999999E-2</v>
      </c>
      <c r="E9" s="360" t="s">
        <v>242</v>
      </c>
      <c r="F9" s="360"/>
      <c r="G9" s="360"/>
    </row>
    <row r="10" spans="2:7" ht="15" customHeight="1" x14ac:dyDescent="0.2">
      <c r="B10" s="356" t="s">
        <v>243</v>
      </c>
      <c r="C10" s="357">
        <v>5.5E-2</v>
      </c>
    </row>
    <row r="11" spans="2:7" ht="15" customHeight="1" x14ac:dyDescent="0.2">
      <c r="B11" s="361" t="s">
        <v>244</v>
      </c>
      <c r="C11" s="362">
        <v>0.95</v>
      </c>
    </row>
    <row r="12" spans="2:7" ht="15" customHeight="1" x14ac:dyDescent="0.2">
      <c r="B12" s="358" t="s">
        <v>245</v>
      </c>
      <c r="C12" s="363">
        <f>C9+C11*C10</f>
        <v>0.10235</v>
      </c>
    </row>
    <row r="13" spans="2:7" ht="15" customHeight="1" x14ac:dyDescent="0.2">
      <c r="B13" s="358"/>
      <c r="C13" s="358"/>
    </row>
    <row r="14" spans="2:7" ht="15" customHeight="1" x14ac:dyDescent="0.2">
      <c r="B14" s="354" t="s">
        <v>246</v>
      </c>
      <c r="C14" s="358"/>
    </row>
    <row r="15" spans="2:7" ht="15" customHeight="1" x14ac:dyDescent="0.2">
      <c r="B15" s="358" t="s">
        <v>247</v>
      </c>
      <c r="C15" s="357">
        <v>5.5E-2</v>
      </c>
    </row>
    <row r="16" spans="2:7" ht="15" customHeight="1" x14ac:dyDescent="0.2">
      <c r="B16" s="358" t="s">
        <v>248</v>
      </c>
      <c r="C16" s="359">
        <f>Assumptions!D83</f>
        <v>0.25</v>
      </c>
    </row>
    <row r="17" spans="2:3" ht="15" customHeight="1" x14ac:dyDescent="0.2">
      <c r="B17" s="358" t="s">
        <v>249</v>
      </c>
      <c r="C17" s="359">
        <f>C15*(1-C16)</f>
        <v>4.1250000000000002E-2</v>
      </c>
    </row>
    <row r="18" spans="2:3" ht="15" customHeight="1" x14ac:dyDescent="0.2">
      <c r="B18" s="358"/>
      <c r="C18" s="358"/>
    </row>
    <row r="19" spans="2:3" ht="15" customHeight="1" x14ac:dyDescent="0.2">
      <c r="B19" s="364" t="s">
        <v>130</v>
      </c>
      <c r="C19" s="365">
        <f>C6*C12+C5*C17</f>
        <v>8.4019999999999984E-2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J24"/>
  <sheetViews>
    <sheetView showGridLines="0" zoomScale="85" zoomScaleNormal="85" workbookViewId="0">
      <selection activeCell="G22" sqref="G22"/>
    </sheetView>
  </sheetViews>
  <sheetFormatPr baseColWidth="10" defaultColWidth="13" defaultRowHeight="13" x14ac:dyDescent="0.15"/>
  <cols>
    <col min="1" max="2" width="8.83203125" style="1" customWidth="1"/>
    <col min="3" max="3" width="32" style="1" customWidth="1"/>
    <col min="4" max="16384" width="13" style="1"/>
  </cols>
  <sheetData>
    <row r="2" spans="2:10" ht="17.25" customHeight="1" x14ac:dyDescent="0.2">
      <c r="B2" s="2" t="s">
        <v>250</v>
      </c>
    </row>
    <row r="4" spans="2:10" ht="12.75" customHeight="1" x14ac:dyDescent="0.15">
      <c r="C4" s="1" t="s">
        <v>251</v>
      </c>
      <c r="D4" s="3">
        <f>'Income Statement'!H25</f>
        <v>325.89254564999999</v>
      </c>
    </row>
    <row r="6" spans="2:10" ht="12.75" customHeight="1" x14ac:dyDescent="0.15">
      <c r="C6" s="4" t="s">
        <v>252</v>
      </c>
      <c r="D6" s="3">
        <f>+G6*J6</f>
        <v>2933.03291085</v>
      </c>
      <c r="E6" s="3">
        <f>+F6-D6</f>
        <v>1629.4627282499996</v>
      </c>
      <c r="F6" s="3">
        <f>+H6*J6</f>
        <v>4562.4956390999996</v>
      </c>
      <c r="G6" s="5">
        <v>9</v>
      </c>
      <c r="H6" s="5">
        <v>14</v>
      </c>
      <c r="I6" s="1" t="s">
        <v>253</v>
      </c>
      <c r="J6" s="3">
        <f>+D4</f>
        <v>325.89254564999999</v>
      </c>
    </row>
    <row r="7" spans="2:10" ht="12.75" customHeight="1" x14ac:dyDescent="0.15">
      <c r="C7" s="1" t="s">
        <v>254</v>
      </c>
      <c r="D7" s="3">
        <v>4500</v>
      </c>
      <c r="E7" s="3">
        <f>+F7-D7</f>
        <v>1000</v>
      </c>
      <c r="F7" s="3">
        <v>5500</v>
      </c>
      <c r="G7" s="1" t="s">
        <v>255</v>
      </c>
    </row>
    <row r="8" spans="2:10" ht="12.75" customHeight="1" x14ac:dyDescent="0.15">
      <c r="C8" s="1" t="s">
        <v>256</v>
      </c>
      <c r="D8" s="3">
        <v>3300</v>
      </c>
      <c r="E8" s="3">
        <f>+F8-D8</f>
        <v>500</v>
      </c>
      <c r="F8" s="3">
        <v>3800</v>
      </c>
      <c r="G8" s="1" t="s">
        <v>257</v>
      </c>
    </row>
    <row r="9" spans="2:10" ht="12.75" customHeight="1" x14ac:dyDescent="0.15">
      <c r="C9" s="1" t="s">
        <v>258</v>
      </c>
      <c r="D9" s="3">
        <f>'Income Statement'!H25*9</f>
        <v>2933.03291085</v>
      </c>
      <c r="E9" s="3">
        <f>+F9-D9</f>
        <v>1629.4627282499996</v>
      </c>
      <c r="F9" s="3">
        <f>'Income Statement'!H25*14</f>
        <v>4562.4956390999996</v>
      </c>
    </row>
    <row r="21" spans="3:6" ht="12.75" customHeight="1" x14ac:dyDescent="0.15">
      <c r="C21" s="4"/>
      <c r="D21" s="5"/>
      <c r="F21" s="5"/>
    </row>
    <row r="22" spans="3:6" ht="12.75" customHeight="1" x14ac:dyDescent="0.15">
      <c r="D22" s="5"/>
      <c r="F22" s="5"/>
    </row>
    <row r="23" spans="3:6" ht="12.75" customHeight="1" x14ac:dyDescent="0.15">
      <c r="D23" s="5"/>
      <c r="F23" s="5"/>
    </row>
    <row r="24" spans="3:6" ht="12.75" customHeight="1" x14ac:dyDescent="0.15">
      <c r="D24" s="5"/>
      <c r="F24" s="5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zoomScaleNormal="100" workbookViewId="0">
      <selection activeCell="G22" sqref="G22"/>
    </sheetView>
  </sheetViews>
  <sheetFormatPr baseColWidth="10" defaultColWidth="8.83203125" defaultRowHeight="15" x14ac:dyDescent="0.2"/>
  <sheetData>
    <row r="1" spans="1:8" ht="15" customHeight="1" x14ac:dyDescent="0.2">
      <c r="A1" s="6" t="s">
        <v>259</v>
      </c>
    </row>
    <row r="3" spans="1:8" ht="15" customHeight="1" x14ac:dyDescent="0.2">
      <c r="C3" s="5"/>
      <c r="D3" s="5"/>
      <c r="E3" s="5"/>
      <c r="F3" s="5"/>
      <c r="G3" s="5"/>
      <c r="H3" s="5"/>
    </row>
    <row r="4" spans="1:8" ht="15" customHeight="1" x14ac:dyDescent="0.2">
      <c r="C4" s="5"/>
      <c r="D4" s="5"/>
      <c r="E4" s="5"/>
      <c r="F4" s="5"/>
      <c r="G4" s="5"/>
      <c r="H4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B659-C205-4B55-855D-01BDA63B408D}">
  <dimension ref="C5:E7"/>
  <sheetViews>
    <sheetView showGridLines="0" workbookViewId="0">
      <selection activeCell="E9" sqref="E9"/>
    </sheetView>
  </sheetViews>
  <sheetFormatPr baseColWidth="10" defaultRowHeight="14" x14ac:dyDescent="0.15"/>
  <cols>
    <col min="1" max="2" width="10.83203125" style="18"/>
    <col min="3" max="3" width="14.83203125" style="18" bestFit="1" customWidth="1"/>
    <col min="4" max="4" width="32.33203125" style="18" customWidth="1"/>
    <col min="5" max="5" width="30.33203125" style="18" bestFit="1" customWidth="1"/>
    <col min="6" max="6" width="13.33203125" style="18" customWidth="1"/>
    <col min="7" max="16384" width="10.83203125" style="18"/>
  </cols>
  <sheetData>
    <row r="5" spans="3:5" x14ac:dyDescent="0.15">
      <c r="C5" s="411"/>
      <c r="D5" s="412" t="s">
        <v>355</v>
      </c>
      <c r="E5" s="413" t="s">
        <v>354</v>
      </c>
    </row>
    <row r="6" spans="3:5" x14ac:dyDescent="0.15">
      <c r="C6" s="409" t="s">
        <v>353</v>
      </c>
      <c r="D6" s="405">
        <v>145</v>
      </c>
      <c r="E6" s="406">
        <v>0.86</v>
      </c>
    </row>
    <row r="7" spans="3:5" x14ac:dyDescent="0.15">
      <c r="C7" s="410" t="s">
        <v>356</v>
      </c>
      <c r="D7" s="407">
        <v>120</v>
      </c>
      <c r="E7" s="408">
        <v>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33BBDE13E9C4A9212DC4C67004171" ma:contentTypeVersion="3" ma:contentTypeDescription="Create a new document." ma:contentTypeScope="" ma:versionID="e25860106551328b786a9f0b36f316bb">
  <xsd:schema xmlns:xsd="http://www.w3.org/2001/XMLSchema" xmlns:xs="http://www.w3.org/2001/XMLSchema" xmlns:p="http://schemas.microsoft.com/office/2006/metadata/properties" xmlns:ns2="9f5b1315-03f7-489c-9730-a5d23c77926f" targetNamespace="http://schemas.microsoft.com/office/2006/metadata/properties" ma:root="true" ma:fieldsID="d6faec286e4ba35d3fdf3ed0775f9027" ns2:_="">
    <xsd:import namespace="9f5b1315-03f7-489c-9730-a5d23c779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b1315-03f7-489c-9730-a5d23c779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E88689-68BE-4AC0-8C2E-CC919625B3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1ABFE-6982-40AE-8BE5-6F9E2923D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5b1315-03f7-489c-9730-a5d23c779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7EE977-8651-45C2-8C58-7498DC5AB831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9f5b1315-03f7-489c-9730-a5d23c77926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WSO Cover Page</vt:lpstr>
      <vt:lpstr>DCF</vt:lpstr>
      <vt:lpstr>Assumptions</vt:lpstr>
      <vt:lpstr>Income Statement</vt:lpstr>
      <vt:lpstr>Balance Sheet</vt:lpstr>
      <vt:lpstr>Cash Flow Statement</vt:lpstr>
      <vt:lpstr>PPE Schedule</vt:lpstr>
      <vt:lpstr>Debt Schedule</vt:lpstr>
      <vt:lpstr>LBO Modelling</vt:lpstr>
      <vt:lpstr>PE Returns analysis</vt:lpstr>
      <vt:lpstr>Sheet1</vt:lpstr>
      <vt:lpstr>Comps</vt:lpstr>
      <vt:lpstr>WACC Calculation</vt:lpstr>
      <vt:lpstr>Football Field</vt:lpstr>
      <vt:lpstr>Charts</vt:lpstr>
      <vt:lpstr>metrics</vt:lpstr>
      <vt:lpstr>Assumptions!Print_Area</vt:lpstr>
      <vt:lpstr>'Balance Sheet'!Print_Area</vt:lpstr>
      <vt:lpstr>DCF!Print_Area</vt:lpstr>
      <vt:lpstr>'Debt Schedule'!Print_Area</vt:lpstr>
      <vt:lpstr>'Income Statement'!Print_Area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Zaki, Aleya</cp:lastModifiedBy>
  <cp:revision>10</cp:revision>
  <dcterms:created xsi:type="dcterms:W3CDTF">2016-03-20T09:22:44Z</dcterms:created>
  <dcterms:modified xsi:type="dcterms:W3CDTF">2026-07-19T10:45:56Z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0x010100C8733BBDE13E9C4A9212DC4C67004171</vt:lpwstr>
  </property>
</Properties>
</file>